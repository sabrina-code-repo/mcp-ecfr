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woo\Desktop\sabrina-git\mcp-ecfr\documentation\"/>
    </mc:Choice>
  </mc:AlternateContent>
  <xr:revisionPtr revIDLastSave="0" documentId="13_ncr:1_{F74E76DE-DD70-4D3D-90AB-A914FFAAC10B}" xr6:coauthVersionLast="47" xr6:coauthVersionMax="47" xr10:uidLastSave="{00000000-0000-0000-0000-000000000000}"/>
  <bookViews>
    <workbookView xWindow="-110" yWindow="-110" windowWidth="19420" windowHeight="11500" xr2:uid="{0C9AD3A0-E2F0-4E8C-881B-D47F536EE07F}"/>
  </bookViews>
  <sheets>
    <sheet name="Notes" sheetId="2" r:id="rId1"/>
    <sheet name="Raw Data" sheetId="1" r:id="rId2"/>
    <sheet name="Judge Input" sheetId="3" r:id="rId3"/>
    <sheet name="ChatGPT Response" sheetId="4" r:id="rId4"/>
    <sheet name="All Metrics" sheetId="7" r:id="rId5"/>
    <sheet name="PT for Chi" sheetId="15" r:id="rId6"/>
    <sheet name="Chi Squared" sheetId="14" r:id="rId7"/>
    <sheet name="Welchs T Test" sheetId="13" r:id="rId8"/>
    <sheet name="Paired T test" sheetId="17" r:id="rId9"/>
    <sheet name="Spearman Corr" sheetId="19" r:id="rId10"/>
  </sheets>
  <definedNames>
    <definedName name="_xlnm._FilterDatabase" localSheetId="2" hidden="1">'Judge Input'!$A$1:$C$101</definedName>
    <definedName name="_xlnm._FilterDatabase" localSheetId="1" hidden="1">'Raw Data'!$A$2:$T$66</definedName>
    <definedName name="_xlcn.WorksheetConnection_AllMetricsA1M811" hidden="1">'All Metrics'!$A$1:$M$81</definedName>
  </definedNames>
  <calcPr calcId="191029"/>
  <pivotCaches>
    <pivotCache cacheId="0" r:id="rId1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ll Metrics!$A$1:$M$8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9" l="1" a="1"/>
  <c r="Q2" i="19" s="1"/>
  <c r="H2" i="19" a="1"/>
  <c r="H2" i="19" s="1"/>
  <c r="G83" i="19"/>
  <c r="G2" i="19"/>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66" i="19"/>
  <c r="F67" i="19"/>
  <c r="F68" i="19"/>
  <c r="F69" i="19"/>
  <c r="F70" i="19"/>
  <c r="F71" i="19"/>
  <c r="F72" i="19"/>
  <c r="F73" i="19"/>
  <c r="F74" i="19"/>
  <c r="F75" i="19"/>
  <c r="F76" i="19"/>
  <c r="F77" i="19"/>
  <c r="F78" i="19"/>
  <c r="F79" i="19"/>
  <c r="F80" i="19"/>
  <c r="F81" i="19"/>
  <c r="F2" i="19"/>
  <c r="D2" i="19"/>
  <c r="E2" i="19"/>
  <c r="N81" i="19"/>
  <c r="M81" i="19"/>
  <c r="E81" i="19"/>
  <c r="D81" i="19"/>
  <c r="N80" i="19"/>
  <c r="M80" i="19"/>
  <c r="E80" i="19"/>
  <c r="D80" i="19"/>
  <c r="N79" i="19"/>
  <c r="M79" i="19"/>
  <c r="E79" i="19"/>
  <c r="D79" i="19"/>
  <c r="G79" i="19" s="1"/>
  <c r="N78" i="19"/>
  <c r="M78" i="19"/>
  <c r="O78" i="19" s="1"/>
  <c r="P78" i="19" s="1"/>
  <c r="E78" i="19"/>
  <c r="D78" i="19"/>
  <c r="N77" i="19"/>
  <c r="M77" i="19"/>
  <c r="E77" i="19"/>
  <c r="D77" i="19"/>
  <c r="N76" i="19"/>
  <c r="M76" i="19"/>
  <c r="E76" i="19"/>
  <c r="D76" i="19"/>
  <c r="N75" i="19"/>
  <c r="M75" i="19"/>
  <c r="E75" i="19"/>
  <c r="D75" i="19"/>
  <c r="G75" i="19" s="1"/>
  <c r="N74" i="19"/>
  <c r="M74" i="19"/>
  <c r="O74" i="19" s="1"/>
  <c r="P74" i="19" s="1"/>
  <c r="E74" i="19"/>
  <c r="D74" i="19"/>
  <c r="N73" i="19"/>
  <c r="M73" i="19"/>
  <c r="E73" i="19"/>
  <c r="D73" i="19"/>
  <c r="N72" i="19"/>
  <c r="M72" i="19"/>
  <c r="E72" i="19"/>
  <c r="D72" i="19"/>
  <c r="G72" i="19" s="1"/>
  <c r="N71" i="19"/>
  <c r="M71" i="19"/>
  <c r="E71" i="19"/>
  <c r="D71" i="19"/>
  <c r="G71" i="19" s="1"/>
  <c r="N70" i="19"/>
  <c r="M70" i="19"/>
  <c r="O70" i="19" s="1"/>
  <c r="P70" i="19" s="1"/>
  <c r="E70" i="19"/>
  <c r="D70" i="19"/>
  <c r="G70" i="19" s="1"/>
  <c r="N69" i="19"/>
  <c r="M69" i="19"/>
  <c r="E69" i="19"/>
  <c r="D69" i="19"/>
  <c r="N68" i="19"/>
  <c r="M68" i="19"/>
  <c r="E68" i="19"/>
  <c r="D68" i="19"/>
  <c r="G68" i="19" s="1"/>
  <c r="N67" i="19"/>
  <c r="M67" i="19"/>
  <c r="E67" i="19"/>
  <c r="D67" i="19"/>
  <c r="G67" i="19" s="1"/>
  <c r="N66" i="19"/>
  <c r="M66" i="19"/>
  <c r="O66" i="19" s="1"/>
  <c r="P66" i="19" s="1"/>
  <c r="E66" i="19"/>
  <c r="D66" i="19"/>
  <c r="N65" i="19"/>
  <c r="M65" i="19"/>
  <c r="E65" i="19"/>
  <c r="D65" i="19"/>
  <c r="N64" i="19"/>
  <c r="M64" i="19"/>
  <c r="E64" i="19"/>
  <c r="D64" i="19"/>
  <c r="N63" i="19"/>
  <c r="M63" i="19"/>
  <c r="E63" i="19"/>
  <c r="D63" i="19"/>
  <c r="G63" i="19" s="1"/>
  <c r="N62" i="19"/>
  <c r="M62" i="19"/>
  <c r="O62" i="19" s="1"/>
  <c r="P62" i="19" s="1"/>
  <c r="E62" i="19"/>
  <c r="D62" i="19"/>
  <c r="N61" i="19"/>
  <c r="M61" i="19"/>
  <c r="E61" i="19"/>
  <c r="D61" i="19"/>
  <c r="N60" i="19"/>
  <c r="M60" i="19"/>
  <c r="E60" i="19"/>
  <c r="D60" i="19"/>
  <c r="N59" i="19"/>
  <c r="M59" i="19"/>
  <c r="E59" i="19"/>
  <c r="D59" i="19"/>
  <c r="G59" i="19" s="1"/>
  <c r="N58" i="19"/>
  <c r="M58" i="19"/>
  <c r="O58" i="19" s="1"/>
  <c r="P58" i="19" s="1"/>
  <c r="E58" i="19"/>
  <c r="D58" i="19"/>
  <c r="N57" i="19"/>
  <c r="M57" i="19"/>
  <c r="E57" i="19"/>
  <c r="D57" i="19"/>
  <c r="N56" i="19"/>
  <c r="M56" i="19"/>
  <c r="E56" i="19"/>
  <c r="D56" i="19"/>
  <c r="G56" i="19" s="1"/>
  <c r="N55" i="19"/>
  <c r="M55" i="19"/>
  <c r="E55" i="19"/>
  <c r="D55" i="19"/>
  <c r="G55" i="19" s="1"/>
  <c r="N54" i="19"/>
  <c r="M54" i="19"/>
  <c r="O54" i="19" s="1"/>
  <c r="P54" i="19" s="1"/>
  <c r="E54" i="19"/>
  <c r="D54" i="19"/>
  <c r="G54" i="19" s="1"/>
  <c r="N53" i="19"/>
  <c r="M53" i="19"/>
  <c r="E53" i="19"/>
  <c r="D53" i="19"/>
  <c r="N52" i="19"/>
  <c r="M52" i="19"/>
  <c r="E52" i="19"/>
  <c r="D52" i="19"/>
  <c r="G52" i="19" s="1"/>
  <c r="N51" i="19"/>
  <c r="M51" i="19"/>
  <c r="E51" i="19"/>
  <c r="D51" i="19"/>
  <c r="G51" i="19" s="1"/>
  <c r="N50" i="19"/>
  <c r="M50" i="19"/>
  <c r="O50" i="19" s="1"/>
  <c r="P50" i="19" s="1"/>
  <c r="E50" i="19"/>
  <c r="D50" i="19"/>
  <c r="N49" i="19"/>
  <c r="M49" i="19"/>
  <c r="E49" i="19"/>
  <c r="D49" i="19"/>
  <c r="N48" i="19"/>
  <c r="M48" i="19"/>
  <c r="E48" i="19"/>
  <c r="D48" i="19"/>
  <c r="N47" i="19"/>
  <c r="M47" i="19"/>
  <c r="E47" i="19"/>
  <c r="D47" i="19"/>
  <c r="G47" i="19" s="1"/>
  <c r="N46" i="19"/>
  <c r="M46" i="19"/>
  <c r="O46" i="19" s="1"/>
  <c r="P46" i="19" s="1"/>
  <c r="E46" i="19"/>
  <c r="D46" i="19"/>
  <c r="N45" i="19"/>
  <c r="M45" i="19"/>
  <c r="E45" i="19"/>
  <c r="D45" i="19"/>
  <c r="N44" i="19"/>
  <c r="M44" i="19"/>
  <c r="E44" i="19"/>
  <c r="D44" i="19"/>
  <c r="N43" i="19"/>
  <c r="M43" i="19"/>
  <c r="E43" i="19"/>
  <c r="D43" i="19"/>
  <c r="G43" i="19" s="1"/>
  <c r="N42" i="19"/>
  <c r="M42" i="19"/>
  <c r="O42" i="19" s="1"/>
  <c r="P42" i="19" s="1"/>
  <c r="E42" i="19"/>
  <c r="D42" i="19"/>
  <c r="N41" i="19"/>
  <c r="M41" i="19"/>
  <c r="E41" i="19"/>
  <c r="D41" i="19"/>
  <c r="N40" i="19"/>
  <c r="M40" i="19"/>
  <c r="E40" i="19"/>
  <c r="D40" i="19"/>
  <c r="G40" i="19" s="1"/>
  <c r="N39" i="19"/>
  <c r="M39" i="19"/>
  <c r="E39" i="19"/>
  <c r="D39" i="19"/>
  <c r="G39" i="19" s="1"/>
  <c r="N38" i="19"/>
  <c r="M38" i="19"/>
  <c r="O38" i="19" s="1"/>
  <c r="P38" i="19" s="1"/>
  <c r="E38" i="19"/>
  <c r="D38" i="19"/>
  <c r="G38" i="19" s="1"/>
  <c r="N37" i="19"/>
  <c r="M37" i="19"/>
  <c r="E37" i="19"/>
  <c r="D37" i="19"/>
  <c r="N36" i="19"/>
  <c r="M36" i="19"/>
  <c r="E36" i="19"/>
  <c r="D36" i="19"/>
  <c r="G36" i="19" s="1"/>
  <c r="N35" i="19"/>
  <c r="M35" i="19"/>
  <c r="E35" i="19"/>
  <c r="D35" i="19"/>
  <c r="G35" i="19" s="1"/>
  <c r="N34" i="19"/>
  <c r="M34" i="19"/>
  <c r="O34" i="19" s="1"/>
  <c r="P34" i="19" s="1"/>
  <c r="E34" i="19"/>
  <c r="D34" i="19"/>
  <c r="N33" i="19"/>
  <c r="M33" i="19"/>
  <c r="E33" i="19"/>
  <c r="D33" i="19"/>
  <c r="N32" i="19"/>
  <c r="M32" i="19"/>
  <c r="E32" i="19"/>
  <c r="D32" i="19"/>
  <c r="N31" i="19"/>
  <c r="M31" i="19"/>
  <c r="E31" i="19"/>
  <c r="D31" i="19"/>
  <c r="G31" i="19" s="1"/>
  <c r="N30" i="19"/>
  <c r="M30" i="19"/>
  <c r="O30" i="19" s="1"/>
  <c r="P30" i="19" s="1"/>
  <c r="E30" i="19"/>
  <c r="D30" i="19"/>
  <c r="N29" i="19"/>
  <c r="M29" i="19"/>
  <c r="E29" i="19"/>
  <c r="D29" i="19"/>
  <c r="N28" i="19"/>
  <c r="M28" i="19"/>
  <c r="E28" i="19"/>
  <c r="D28" i="19"/>
  <c r="N27" i="19"/>
  <c r="M27" i="19"/>
  <c r="E27" i="19"/>
  <c r="D27" i="19"/>
  <c r="G27" i="19" s="1"/>
  <c r="N26" i="19"/>
  <c r="M26" i="19"/>
  <c r="O26" i="19" s="1"/>
  <c r="P26" i="19" s="1"/>
  <c r="E26" i="19"/>
  <c r="D26" i="19"/>
  <c r="N25" i="19"/>
  <c r="M25" i="19"/>
  <c r="E25" i="19"/>
  <c r="D25" i="19"/>
  <c r="N24" i="19"/>
  <c r="M24" i="19"/>
  <c r="E24" i="19"/>
  <c r="D24" i="19"/>
  <c r="G24" i="19" s="1"/>
  <c r="N23" i="19"/>
  <c r="M23" i="19"/>
  <c r="E23" i="19"/>
  <c r="D23" i="19"/>
  <c r="G23" i="19" s="1"/>
  <c r="N22" i="19"/>
  <c r="M22" i="19"/>
  <c r="O22" i="19" s="1"/>
  <c r="P22" i="19" s="1"/>
  <c r="E22" i="19"/>
  <c r="D22" i="19"/>
  <c r="G22" i="19" s="1"/>
  <c r="N21" i="19"/>
  <c r="M21" i="19"/>
  <c r="E21" i="19"/>
  <c r="D21" i="19"/>
  <c r="N20" i="19"/>
  <c r="M20" i="19"/>
  <c r="E20" i="19"/>
  <c r="D20" i="19"/>
  <c r="G20" i="19" s="1"/>
  <c r="N19" i="19"/>
  <c r="M19" i="19"/>
  <c r="E19" i="19"/>
  <c r="D19" i="19"/>
  <c r="G19" i="19" s="1"/>
  <c r="N18" i="19"/>
  <c r="M18" i="19"/>
  <c r="O18" i="19" s="1"/>
  <c r="P18" i="19" s="1"/>
  <c r="E18" i="19"/>
  <c r="D18" i="19"/>
  <c r="N17" i="19"/>
  <c r="M17" i="19"/>
  <c r="E17" i="19"/>
  <c r="D17" i="19"/>
  <c r="N16" i="19"/>
  <c r="M16" i="19"/>
  <c r="E16" i="19"/>
  <c r="D16" i="19"/>
  <c r="N15" i="19"/>
  <c r="M15" i="19"/>
  <c r="E15" i="19"/>
  <c r="D15" i="19"/>
  <c r="G15" i="19" s="1"/>
  <c r="N14" i="19"/>
  <c r="M14" i="19"/>
  <c r="O14" i="19" s="1"/>
  <c r="P14" i="19" s="1"/>
  <c r="E14" i="19"/>
  <c r="D14" i="19"/>
  <c r="N13" i="19"/>
  <c r="M13" i="19"/>
  <c r="E13" i="19"/>
  <c r="D13" i="19"/>
  <c r="N12" i="19"/>
  <c r="M12" i="19"/>
  <c r="E12" i="19"/>
  <c r="D12" i="19"/>
  <c r="N11" i="19"/>
  <c r="M11" i="19"/>
  <c r="E11" i="19"/>
  <c r="D11" i="19"/>
  <c r="G11" i="19" s="1"/>
  <c r="N10" i="19"/>
  <c r="M10" i="19"/>
  <c r="O10" i="19" s="1"/>
  <c r="P10" i="19" s="1"/>
  <c r="E10" i="19"/>
  <c r="D10" i="19"/>
  <c r="N9" i="19"/>
  <c r="M9" i="19"/>
  <c r="E9" i="19"/>
  <c r="D9" i="19"/>
  <c r="N8" i="19"/>
  <c r="M8" i="19"/>
  <c r="E8" i="19"/>
  <c r="D8" i="19"/>
  <c r="G8" i="19" s="1"/>
  <c r="N7" i="19"/>
  <c r="M7" i="19"/>
  <c r="E7" i="19"/>
  <c r="D7" i="19"/>
  <c r="G7" i="19" s="1"/>
  <c r="N6" i="19"/>
  <c r="M6" i="19"/>
  <c r="O6" i="19" s="1"/>
  <c r="P6" i="19" s="1"/>
  <c r="E6" i="19"/>
  <c r="D6" i="19"/>
  <c r="G6" i="19" s="1"/>
  <c r="N5" i="19"/>
  <c r="M5" i="19"/>
  <c r="E5" i="19"/>
  <c r="D5" i="19"/>
  <c r="N4" i="19"/>
  <c r="M4" i="19"/>
  <c r="E4" i="19"/>
  <c r="D4" i="19"/>
  <c r="G4" i="19" s="1"/>
  <c r="N3" i="19"/>
  <c r="M3" i="19"/>
  <c r="E3" i="19"/>
  <c r="D3" i="19"/>
  <c r="G3" i="19" s="1"/>
  <c r="N2" i="19"/>
  <c r="M2" i="19"/>
  <c r="O2" i="19" s="1"/>
  <c r="P2" i="19" s="1"/>
  <c r="G12" i="19" l="1"/>
  <c r="G16" i="19"/>
  <c r="G28" i="19"/>
  <c r="G32" i="19"/>
  <c r="G44" i="19"/>
  <c r="G48" i="19"/>
  <c r="G60" i="19"/>
  <c r="G64" i="19"/>
  <c r="G10" i="19"/>
  <c r="G14" i="19"/>
  <c r="G18" i="19"/>
  <c r="G26" i="19"/>
  <c r="G30" i="19"/>
  <c r="G34" i="19"/>
  <c r="G42" i="19"/>
  <c r="G46" i="19"/>
  <c r="G50" i="19"/>
  <c r="G58" i="19"/>
  <c r="G62" i="19"/>
  <c r="G66" i="19"/>
  <c r="G74" i="19"/>
  <c r="G78" i="19"/>
  <c r="G5" i="19"/>
  <c r="G9" i="19"/>
  <c r="G13" i="19"/>
  <c r="G17" i="19"/>
  <c r="G21" i="19"/>
  <c r="G29" i="19"/>
  <c r="G33" i="19"/>
  <c r="G37" i="19"/>
  <c r="G41" i="19"/>
  <c r="G45" i="19"/>
  <c r="G49" i="19"/>
  <c r="G53" i="19"/>
  <c r="G57" i="19"/>
  <c r="G61" i="19"/>
  <c r="G65" i="19"/>
  <c r="G69" i="19"/>
  <c r="G73" i="19"/>
  <c r="G77" i="19"/>
  <c r="G81" i="19"/>
  <c r="O57" i="19"/>
  <c r="P57" i="19" s="1"/>
  <c r="O69" i="19"/>
  <c r="P69" i="19" s="1"/>
  <c r="O73" i="19"/>
  <c r="P73" i="19" s="1"/>
  <c r="O77" i="19"/>
  <c r="P77" i="19" s="1"/>
  <c r="O81" i="19"/>
  <c r="P81" i="19" s="1"/>
  <c r="O3" i="19"/>
  <c r="P3" i="19" s="1"/>
  <c r="O7" i="19"/>
  <c r="P7" i="19" s="1"/>
  <c r="O11" i="19"/>
  <c r="P11" i="19" s="1"/>
  <c r="O15" i="19"/>
  <c r="P15" i="19" s="1"/>
  <c r="O19" i="19"/>
  <c r="P19" i="19" s="1"/>
  <c r="O23" i="19"/>
  <c r="P23" i="19" s="1"/>
  <c r="O27" i="19"/>
  <c r="P27" i="19" s="1"/>
  <c r="O31" i="19"/>
  <c r="P31" i="19" s="1"/>
  <c r="O35" i="19"/>
  <c r="P35" i="19" s="1"/>
  <c r="O39" i="19"/>
  <c r="P39" i="19" s="1"/>
  <c r="O43" i="19"/>
  <c r="P43" i="19" s="1"/>
  <c r="O47" i="19"/>
  <c r="P47" i="19" s="1"/>
  <c r="O51" i="19"/>
  <c r="P51" i="19" s="1"/>
  <c r="O55" i="19"/>
  <c r="P55" i="19" s="1"/>
  <c r="O59" i="19"/>
  <c r="P59" i="19" s="1"/>
  <c r="O63" i="19"/>
  <c r="P63" i="19" s="1"/>
  <c r="O67" i="19"/>
  <c r="P67" i="19" s="1"/>
  <c r="O71" i="19"/>
  <c r="P71" i="19" s="1"/>
  <c r="O75" i="19"/>
  <c r="P75" i="19" s="1"/>
  <c r="O79" i="19"/>
  <c r="P79" i="19" s="1"/>
  <c r="O4" i="19"/>
  <c r="P4" i="19" s="1"/>
  <c r="O8" i="19"/>
  <c r="P8" i="19" s="1"/>
  <c r="O12" i="19"/>
  <c r="P12" i="19" s="1"/>
  <c r="O16" i="19"/>
  <c r="P16" i="19" s="1"/>
  <c r="O20" i="19"/>
  <c r="P20" i="19" s="1"/>
  <c r="O24" i="19"/>
  <c r="P24" i="19" s="1"/>
  <c r="O28" i="19"/>
  <c r="P28" i="19" s="1"/>
  <c r="O32" i="19"/>
  <c r="P32" i="19" s="1"/>
  <c r="O36" i="19"/>
  <c r="P36" i="19" s="1"/>
  <c r="O40" i="19"/>
  <c r="P40" i="19" s="1"/>
  <c r="O44" i="19"/>
  <c r="P44" i="19" s="1"/>
  <c r="O48" i="19"/>
  <c r="P48" i="19" s="1"/>
  <c r="O52" i="19"/>
  <c r="P52" i="19" s="1"/>
  <c r="O56" i="19"/>
  <c r="P56" i="19" s="1"/>
  <c r="O60" i="19"/>
  <c r="P60" i="19" s="1"/>
  <c r="O64" i="19"/>
  <c r="P64" i="19" s="1"/>
  <c r="O68" i="19"/>
  <c r="P68" i="19" s="1"/>
  <c r="O72" i="19"/>
  <c r="P72" i="19" s="1"/>
  <c r="O76" i="19"/>
  <c r="P76" i="19" s="1"/>
  <c r="O80" i="19"/>
  <c r="P80" i="19" s="1"/>
  <c r="O5" i="19"/>
  <c r="P5" i="19" s="1"/>
  <c r="O9" i="19"/>
  <c r="P9" i="19" s="1"/>
  <c r="O13" i="19"/>
  <c r="P13" i="19" s="1"/>
  <c r="O17" i="19"/>
  <c r="P17" i="19" s="1"/>
  <c r="O21" i="19"/>
  <c r="P21" i="19" s="1"/>
  <c r="O25" i="19"/>
  <c r="P25" i="19" s="1"/>
  <c r="O29" i="19"/>
  <c r="P29" i="19" s="1"/>
  <c r="O33" i="19"/>
  <c r="P33" i="19" s="1"/>
  <c r="O37" i="19"/>
  <c r="P37" i="19" s="1"/>
  <c r="O41" i="19"/>
  <c r="P41" i="19" s="1"/>
  <c r="O45" i="19"/>
  <c r="P45" i="19" s="1"/>
  <c r="O49" i="19"/>
  <c r="P49" i="19" s="1"/>
  <c r="O53" i="19"/>
  <c r="P53" i="19" s="1"/>
  <c r="O61" i="19"/>
  <c r="P61" i="19" s="1"/>
  <c r="O65" i="19"/>
  <c r="P65" i="19" s="1"/>
  <c r="G76" i="19"/>
  <c r="G80" i="19"/>
  <c r="G25" i="19"/>
  <c r="P82" i="19" l="1"/>
  <c r="P83" i="19" s="1"/>
  <c r="G82" i="19"/>
  <c r="G10" i="14" l="1"/>
  <c r="H10" i="14"/>
  <c r="H9" i="14"/>
  <c r="G9" i="14"/>
  <c r="B10" i="14"/>
  <c r="C10" i="14"/>
  <c r="C9" i="14"/>
  <c r="B9"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F5267D-FF34-448D-A0F5-DEB6A44087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254550-29A9-4109-9F0C-CE681839282D}" name="WorksheetConnection_All Metrics!$A$1:$M$81" type="102" refreshedVersion="8" minRefreshableVersion="5">
    <extLst>
      <ext xmlns:x15="http://schemas.microsoft.com/office/spreadsheetml/2010/11/main" uri="{DE250136-89BD-433C-8126-D09CA5730AF9}">
        <x15:connection id="Range" autoDelete="1">
          <x15:rangePr sourceName="_xlcn.WorksheetConnection_AllMetricsA1M81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Range].[Include irrelevant information? (0 or 1)].[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<sst xmlns="http://schemas.openxmlformats.org/spreadsheetml/2006/main" count="1712" uniqueCount="517">
  <si>
    <t>Question</t>
  </si>
  <si>
    <t>Model</t>
  </si>
  <si>
    <t>eCFR test</t>
  </si>
  <si>
    <t>Web Search Enabled</t>
  </si>
  <si>
    <t>Response</t>
  </si>
  <si>
    <t>Note</t>
  </si>
  <si>
    <t>What policy differences exist between the 2023 and 2025 Uniform Guidance revisions related to prior approvals?</t>
  </si>
  <si>
    <t>10 replicates</t>
  </si>
  <si>
    <t>What sections of the CFR is the USDA mentioned in that are relevant to grant and contracting policies?</t>
  </si>
  <si>
    <t>If a PI wants to purchase equipment not included in the original budget, what prior approval documentation is required?</t>
  </si>
  <si>
    <t>What expenses must be excluded from the Modified Total Direct Cost base when calculating indirect costs?</t>
  </si>
  <si>
    <t>How do NIH salary cap requirements interact with institutional base salary and cost sharing rules?</t>
  </si>
  <si>
    <t>How did recent Uniform Guidance updates change thresholds for equipment capitalization or procurement methods?</t>
  </si>
  <si>
    <t>What records must be retained after award closeout and how long must they be maintained?</t>
  </si>
  <si>
    <t>What are the monitoring requirements for subrecipients under Uniform Guidance risk assessment standards?</t>
  </si>
  <si>
    <t>How have indirect cost rates changed recently?</t>
  </si>
  <si>
    <t>What happens if a project cannot be completed by the end date and a no-cost extension is denied?</t>
  </si>
  <si>
    <t>Reading the eCFR research admin skill
Reading the eCFR research admin skill
Now let me look up recent amendments to the indirect cost rate section and fetch the current text.
Used ecfr_test integration, loaded tools
Used ecfr_test integration, loaded tools
Loading tools
Result
E
Ecfr get title versions
Result
E
Ecfr compare regulations
Request
{
  "params": {
    "title": 2,
    "part": "200",
    "section": "200.414",
    "date_1": "2020-11-12",
    "date_2": "2024-10-01",
    "include_full_text": true
  }
}
Response
{
  "date_1": "2020-11-12",
  "date_2": "2024-10-01",
  "identical": false,
  "length_1": 6129,
  "length_2": 6002,
  "citation": "2 CFR § 200.414",
  "title": 2,
  "part": "200",
  "section": "200.414",
  "date": "2024-10-01",
  "source_url": "https://www.ecfr.gov/current/title-2/section-200.414",
  "diff": {
    "summary": "13 paragraph(s) added, 15 paragraph(s) removed",
    "added_lines": [
      "§ 200.414 Indirect costs.",
      "(a) Facilities and administration classification. For major Institutions of Higher Education (IHE) and major nonprofit organizations, indirect costs must be classified within two broad categories: “Facilities” and “Administration.” “Facilities” is defined as depreciation on buildings, equipment and capital improvements, interest on debt associated with certain buildings, equipment and capital improvements, and operations and maintenance expenses. “Administration” is defined as general administration and general expenses such as the director's office, accounting, personnel, and all other types of expenditures not listed specifically under one of the subcategories of “Facilities” (including cross allocations from other pools, where applicable). For nonprofit organizations, library expenses are included in the “Administration” category; for IHEs, they are included in the “Facilities” category. Major IHEs are defined as those required to use the Standard Format for Submission as noted in Appendix III. Major nonprofit organizations are those which receive more than $10 million in direct Federal funding.",
      "(b) Diversity of nonprofit organizations. It is not always possible to specify the types of costs that may be classified as indirect costs for nonprofit organizations due to the diversity of their accounting practices. The association of a cost with a Federal award is the determining factor in distinguishing direct from indirect costs. However, typical examples of indirect cost for many nonprofit organizations may include depreciation on buildings and equipment, the costs of operating and maintaining facilities, and general administration and general expenses, such as the salaries and expenses of executive officers, personnel administration, and accounting.",
      "(c) Federal Agency Acceptance of Negotiated Indirect Cost Rates. (See § 200.306.)",
      "(1) Negotiated indirect cost rates must be accepted by all Federal agencies. A Federal agency may use a rate different from the negotiated rate for either a class of Federal awards or a single Federal award only when required by Federal statute or regulation, or when approved by the awarding Federal agency in accordance with paragraph (c)(3) of this section.",
      "(2) The Federal agency must notify OMB of any approved deviations. The recipient or subrecipient may notify OMB of any disputes with Federal agencies regarding the application of a federally negotiated indirect cost rate.",
      "(3) The Federal agency must implement, and make publicly available, the policies, procedures and general decision-making criteria that their programs will follow to seek and justify deviations from negotiated rates.",
      "(4) The Federal agency must include, in the notice of funding opportunity, the policies relating to indirect cost rate reimbursement or cost share as approved under paragraph (e). As appropriate, the Federal agency should incorporate discussion of these policies into its outreach activities with applicants before posting a notice of funding opportunity. See § 200.204.",
      "(d) Pass-through entities. Pass-through entities are subject to the requirements in § 200.332(b)(4) and must accept all federally negotiated indirect costs rates for subrecipients.",
      "(e) Appendices. Requirements for development and submission of indirect cost rate proposals and cost allocation plans are contained in the following Appendices:",
      "(3) Appendix V to Part 200—State/Local Government-wide Central Service Cost Allocation Plans;",
      "(f) De minimis rate. Recipients and subrecipients that do not have a current Federal negotiated indirect cost rate (including provisional rate) may elect to charge a de minimis rate of up to 15 percent of modified total direct costs (MTDC). The recipient or subrecipient is authorized to determine the appropriate rate up to this limit. Federal agencies and pass-through entities may not require recipients and subrecipients to use a de minimis rate lower than the negotiated indirect cost rate or the rate elected pursuant to this subsection unless required by Federal statute or regulation. The de minimis rate must not be applied to cost reimbursement contracts issued directly by the Federal Government in accordance with the FAR. Recipients and subrecipients are not required to use the de minimis rate. When applying the de minimis rate, costs must be consistently charged as either direct or indirect costs and may not be double charged or inconsistently charged as both. The de minimis rate does not require documentation to justify its use and may be used indefinitely. Once elected, the recipient or subrecipient must use the de minimis rate for all Federal awards until the recipient or subrecipient chooses to receive a negotiated rate.",
      "(g) One-time extension of indirect rates. A recipient or subrecipient with a current Federal negotiated indirect cost rate may apply for a one-time extension of that agreement for up to four years. This extension will be subject to review and approval by the cognizant agency for indirect costs. If this extension is granted, the recipient or subrecipient may not request a rate review until the extension period ends. The recipient or subrecipient must re-apply to negotiate a new rate when the extension ends. After a new rate has been negotiated, the recipient or subrecipient may again apply for a one-time extension of the new rate in accordance with this paragraph."
    ],
    "removed_lines": [
      "§ 200.414 Indirect (F&amp;A) costs.",
      "(a) Facilities and administration classification. For major Institutions of Higher Education (IHE) and major nonprofit organizations, indirect (F&amp;A) costs must be classified within two broad categories: “Facilities” and “Administration.” “Facilities” is defined as depreciation on buildings, equipment and capital improvement, interest on debt associated with certain buildings, equipment and capital improvements, and operations and maintenance expenses. “Administration” is defined as general administration and general expenses such as the director's office, accounting, personnel and all other types of expenditures not listed specifically under one of the subcategories of “Facilities” (including cross allocations from other pools, where applicable). For nonprofit organizations, library expenses are included in the “Administration” category; for IHEs, they are included in the “Facilities” category. Major IHEs are defined as those required to use the Standard Format for Submission as noted in appendix III to this part, and Rate Determination for Institutions of Higher Education paragraph C. 11. Major nonprofit organizations are those which receive more than $10 million dollars in direct Federal funding.",
      "(b) Diversity of nonprofit organizations. Because of the diverse characteristics and accounting practices of nonprofit organizations, it is not possible to specify the types of cost which may be classified as indirect (F&amp;A) cost in all situations. Identification with a Federal award rather than the nature of the goods and services involved is the determining factor in distinguishing direct from indirect (F&amp;A) costs of Federal awards. However, typical examples of indirect (F&amp;A) cost for many nonprofit organizations may include depreciation on buildings and equipment, the costs of operating and maintaining facilities, and general administration and general expenses, such as the salaries and expenses of executive officers, personnel administration, and accounting.",
      "(c) Federal Agency Acceptance of Negotiated Indirect Cost Rates. (See also § 200.306.)",
      "(1) The negotiated rates must be accepted by all Federal awarding agencies. A Federal awarding agency may use a rate different from the negotiated rate for a class of Federal awards or a single Federal award only when required by Federal statute or regulation, or when approved by a Federal awarding agency head or delegate based on documented justification as described in paragraph (c)(3) of this section.",
      "(2) The Federal awarding agency head or delegate must notify OMB of any approved deviations.",
      "(3) The Federal awarding agency must implement, and make publicly available, the policies, procedures and general decision-making criteria that their programs will follow to seek and justify deviations from negotiated rates.",
      "(4) As required under § 200.204, the Federal awarding agency must include in the notice of funding opportunity the policies relating to indirect cost rate reimbursement, matching, or cost share as approved under paragraph (e)(1) of this section. As appropriate, the Federal agency should incorporate discussion of these policies into Federal awarding agency outreach activities with non-Federal entities prior to the posting of a notice of funding opportunity.",
      "(d) Pass-through entities are subject to the requirements in § 200.332(a)(4).",
      "(e) Requirements for development and submission of indirect (F&amp;A) cost rate proposals and cost allocation plans are contained in Appendices III-VII and Appendix IX as follows:",
      "(3) Appendix V to Part 200—State/Local Governmentwide Central Service Cost Allocation Plans;",
      "(f) In addition to the procedures outlined in the appendices in paragraph (e) of this section, any non-Federal entity that does not have a current negotiated (including provisional) rate, except for those non-Federal entities described in appendix VII to this part, paragraph D.1.b, may elect to charge a de minimis rate of 10% of modified total direct costs (MTDC) which may be used indefinitely. No documentation is required to justify the 10% de minimis indirect cost rate. As described in § 200.403, costs must be consistently charged as either indirect or direct costs, but may not be double charged or inconsistently charged as both. If chosen, this methodology once elected must be used consistently for all Federal awards until such time as a non-Federal entity chooses to negotiate for a rate, which the non-Federal entity may apply to do at any time.",
      "(g) Any non-Federal entity that has a current federally-negotiated indirect cost rate may apply for a one-time extension of the rates in that agreement for a period of up to four years. This extension will be subject to the review and approval of the cognizant agency for indirect costs. If an extension is granted the non-Federal entity may not request a rate review until the extension period ends. At the end of the 4-year extension, the non-Federal entity must re-apply to negotiate a rate. Subsequent one-time extensions (up to four years) are permitted if a renegotiation is completed between each extension request.",
      "(h) The federally negotiated indirect rate, distribution base, and rate type for a non-Federal entity (except for the Indian tribes or tribal organizations, as defined in the Indian Self Determination, Education and Assistance Act, 25 U.S.C. 450b(1)) must be available publicly on an OMB-designated Federal website.",
      "[78 FR 78608, Dec. 26, 2013, as amended at 79 FR 75886, Dec. 19, 2014; 85 FR 49563, Aug. 13, 2020]"
    ]
  },
  "text_1": "§ 200.414 Indirect (F&amp;A) costs.\n\n============================================================\n\n(a) Facilities and administration classification. For major Institutions of Higher Education (IHE) and major nonprofit organizations, indirect (F&amp;A) costs must be classified within two broad categories: “Facilities” and “Administration.” “Facilities” is defined as depreciation on buildings, equipment and capital improvement, interest on debt associated with certain buildings, equipment and capital improvements, and operations and maintenance expenses. “Administration” is defined as general administration and general expenses such as the director's office, accounting, personnel and all other types of expenditures not listed specifically under one of the subcategories of “Facilities” (including cross allocations from other pools, where applicable). For nonprofit organizations, library expenses are included in the “Administration” category; for IHEs, they are included in the “Facilities” category. Major IHEs are defined as those required to use the Standard Format for Submission as noted in appendix III to this part, and Rate Determination for Institutions of Higher Education paragraph C. 11. Major nonprofit organizations are those which receive more than $10 million dollars in direct Federal funding.\n\n(b) Diversity of nonprofit organizations. Because of the diverse characteristics and accounting practices of nonprofit organizations, it is not possible to specify the types of cost which may be classified as indirect (F&amp;A) cost in all situations. Identification with a Federal award rather than the nature of the goods and services involved is the determining factor in distinguishing direct from indirect (F&amp;A) costs of Federal awards. However, typical examples of indirect (F&amp;A) cost for many nonprofit organizations may include depreciation on buildings and equipment, the costs of operating and maintaining facilities, and general administration and general expenses, such as the salaries and expenses of executive officers, personnel administration, and accounting.\n\n(c) Federal Agency Acceptance of Negotiated Indirect Cost Rates. (See also § 200.306.)\n\n(1) The negotiated rates must be accepted by all Federal awarding agencies. A Federal awarding agency may use a rate different from the negotiated rate for a class of Federal awards or a single Federal award only when required by Federal statute or regulation, or when approved by a Federal awarding agency head or delegate based on documented justification as described in paragraph (c)(3) of this section.\n\n(2) The Federal awarding agency head or delegate must notify OMB of any approved deviations.\n\n(3) The Federal awarding agency must implement, and make publicly available, the policies, procedures and general decision-making criteria that their programs will follow to seek and justify deviations from negotiated rates.\n\n(4) As required under § 200.204, the Federal awarding agency must include in the notice of funding opportunity the policies relating to indirect cost rate reimbursement, matching, or cost share as approved under paragraph (e)(1) of this section. As appropriate, the Federal agency should incorporate discussion of these policies into Federal awarding agency outreach activities with non-Federal entities prior to the posting of a notice of funding opportunity.\n\n(d) Pass-through entities are subject to the requirements in § 200.332(a)(4).\n\n(e) Requirements for development and submission of indirect (F&amp;A) cost rate proposals and cost allocation plans are contained in Appendices III-VII and Appendix IX as follows:\n\n(1) Appendix III to Part 200—Indirect (F&amp;A) Costs Identification and Assignment, and Rate Determination for Institutions of Higher Education (IHEs);\n\n(2) Appendix IV to Part 200—Indirect (F&amp;A) Costs Identification and Assignment, and Rate Determination for Nonprofit Organizations;\n\n(3) Appendix V to Part 200—State/Local Governmentwide Central Service Cost Allocation Plans;\n\n(4) Appendix VI to Part 200—Public Assistance Cost Allocation Plans;\n\n(5) Appendix VII to Part 200—States and Local Government and Indian Tribe Indirect Cost Proposals; and\n\n(6) Appendix IX to Part 200—Hospital Cost Principles.\n\n(f) In addition to the procedures outlined in the appendices in paragraph (e) of this section, any non-Federal entity that does not have a current negotiated (including provisional) rate, except for those non-Federal entities described in appendix VII to this part, paragraph D.1.b, may elect to charge a de minimis rate of 10% of modified total direct costs (MTDC) which may be used indefinitely. No documentation is required to justify the 10% de minimis indirect cost rate. As described in § 200.403, costs must be consistently charged as either indirect or direct costs, but may not be double charged or inconsistently charged as both. If chosen, this methodology once elected must be used consistently for all Federal awards until such time as a non-Federal entity chooses to negotiate for a rate, which the non-Federal entity may apply to do at any time.\n\n(g) Any non-Federal entity that has a current federally-negotiated indirect cost rate may apply for a one-time extension of the rates in that agreement for a period of up to four years. This extension will be subject to the review and approval of the cognizant agency for indirect costs. If an extension is granted the non-Federal entity may not request a rate review until the extension period ends. At the end of the 4-year extension, the non-Federal entity must re-apply to negotiate a rate. Subsequent one-time extensions (up to four years) are permitted if a renegotiation is completed between each extension request.\n\n(h) The federally negotiated indirect rate, distribution base, and rate type for a non-Federal entity (except for the Indian tribes or tribal organizations, as defined in the Indian Self Determination, Education and Assistance Act, 25 U.S.C. 450b(1)) must be available publicly on an OMB-designated Federal website.\n\n[78 FR 78608, Dec. 26, 2013, as amended at 79 FR 75886, Dec. 19, 2014; 85 FR 49563, Aug. 13, 2020]",
  "text_2": "§ 200.414 Indirect costs.\n\n============================================================\n\n(a) Facilities and administration classification. For major Institutions of Higher Education (IHE) and major nonprofit organizations, indirect costs must be classified within two broad categories: “Facilities” and “Administration.” “Facilities” is defined as depreciation on buildings, equipment and capital improvements, interest on debt associated with certain buildings, equipment and capital improvements, and operations and maintenance expenses. “Administration” is defined as general administration and general expenses such as the director's office, accounting, personnel, and all other types of expenditures not listed specifically under one of the subcategories of “Facilities” (including cross allocations from other pools, where applicable). For nonprofit organizations, library expenses are included in the “Administration” category; for IHEs, they are included in the “Facilities” category. Major IHEs are defined as those required to use the Standard Format for Submission as noted in Appendix III. Major nonprofit organizations are those which receive more than $10 million in direct Federal funding.\n\n(b) Diversity of nonprofit organizations. It is not always possible to specify the types of costs that may be classified as indirect costs for nonprofit organizations due to the diversity of their accounting practices. The association of a cost with a Federal award is the determining factor in distinguishing direct from indirect costs. However, typical examples of indirect cost for many nonprofit organizations may include depreciation on buildings and equipment, the costs of operating and maintaining facilities, and general administration and general expenses, such as the salaries and expenses of executive officers, personnel administration, and accounting.\n\n(c) Federal Agency Acceptance of Negotiated Indirect Cost Rates. (See § 200.306.)\n\n(1) Negotiated indirect cost rates must be accepted by all Federal agencies. A Federal agency may use a rate different from the negotiated rate for either a class of Federal awards or a single Federal award only when required by Federal statute or regulation, or when approved by the awarding Federal agency in accordance with paragraph (c)(3) of this section.\n\n(2) The Federal agency must notify OMB of any approved deviations. The recipient or subrecipient may notify OMB of any disputes with Federal agencies regarding the application of a federally negotiated indirect cost rate.\n\n(3) The Federal agency must implement, and make publicly available, the policies, procedures and general decision-making criteria that their programs will follow to seek and justify deviations from negotiated rates.\n\n(4) The Federal agency must include, in the notice of funding opportunity, the policies relating to indirect cost rate reimbursement or cost share as approved under paragraph (e). As appropriate, the Federal agency should incorporate discussion of these policies into its outreach activities with applicants before posting a notice of funding opportunity. See § 200.204.\n\n(d) Pass-through entities. Pass-through entities are subject to the requirements in § 200.332(b)(4) and must accept all federally negotiated indirect costs rates for subrecipients.\n\n(e) Appendices. Requirements for development and submission of indirect cost rate proposals and cost allocation plans are contained in the following Appendices:\n\n(1) Appendix III to Part 200—Indirect (F&amp;A) Costs Identification and Assignment, and Rate Determination for Institutions of Higher Education (IHEs);\n\n(2) Appendix IV to Part 200—Indirect (F&amp;A) Costs Identification and Assignment, and Rate Determination for Nonprofit Organizations;\n\n(3) Appendix V to Part 200—State/Local Government-wide Central Service Cost Allocation Plans;\n\n(4) Appendix VI to Part 200—Public Assistance Cost Allocation Plans;\n\n(5) Appendix VII to Part 200—States and Local Government and Indian Tribe Indirect Cost Proposals; and\n\n(6) Appendix IX to Part 200—Hospital Cost Principles.\n\n(f) De minimis rate. Recipients and subrecipients that do not have a current Federal negotiated indirect cost rate (including provisional rate) may elect to charge a de minimis rate of up to 15 percent of modified total direct costs (MTDC). The recipient or subrecipient is authorized to determine the appropriate rate up to this limit. Federal agencies and pass-through entities may not require recipients and subrecipients to use a de minimis rate lower than the negotiated indirect cost rate or the rate elected pursuant to this subsection unless required by Federal statute or regulation. The de minimis rate must not be applied to cost reimbursement contracts issued directly by the Federal Government in accordance with the FAR. Recipients and subrecipients are not required to use the de minimis rate. When applying the de minimis rate, costs must be consistently charged as either direct or indirect costs and may not be double charged or inconsistently charged as both. The de minimis rate does not require documentation to justify its use and may be used indefinitely. Once elected, the recipient or subrecipient must use the de minimis rate for all Federal awards until the recipient or subrecipient chooses to receive a negotiated rate.\n\n(g) One-time extension of indirect rates. A recipient or subrecipient with a current Federal negotiated indirect cost rate may apply for a one-time extension of that agreement for up to four years. This extension will be subject to review and approval by the cognizant agency for indirect costs. If this extension is granted, the recipient or subrecipient may not request a rate review until the extension period ends. The recipient or subrecipient must re-apply to negotiate a new rate when the extension ends. After a new rate has been negotiated, the recipient or subrecipient may again apply for a one-time extension of the new rate in accordance with this paragraph."
}
Done
Here's a detailed breakdown of what changed in 2 CFR § 200.414 (Indirect Costs) when OMB's 2024 Uniform Guidance revision took effect on October 1, 2024:
Key Changes to 2 CFR § 200.414 (Effective October 1, 2024)
1. Section Title Simplified
The old title was "Indirect (F&amp;A) costs" — the 2024 revision dropped "F&amp;A" from the section heading, retitling it simply "Indirect costs." Throughout the section, similar plain-language simplifications replaced the "(F&amp;A)" parenthetical wherever it appeared.
2. De Minimis Rate Raised: 10% → Up to 15% (§ 200.414(f)) ⬆️
This is the most significant substantive change. Under the prior rule, organizations without a negotiated rate could elect a flat 10% de minimis rate. The 2024 revision:
Raises the ceiling to up to 15% of MTDC — but notably makes it a flexible cap rather than a fixed rate. The recipient/subrecipient may choose any rate up to 15%.
Adds explicit protections: Federal agencies and pass-through entities may not require a de minimis rate lower than the negotiated indirect cost rate or the elected rate, unless required by statute or regulation.
Clarifies the de minimis rate cannot be applied to cost reimbursement contracts issued under the FAR.
Removes the prior carve-out for entities described in Appendix VII paragraph D.1.b.
3. One-Time Rate Extension: Repeating Extensions Removed (§ 200.414(g))
The prior rule allowed repeated one-time extensions (up to 4 years each), so long as a renegotiation occurred between each extension. The 2024 revision removed this "repeat" option. Now, after a negotiated rate expires and a new rate is established, an organization may again apply for a one-time extension — but the language no longer explicitly guarantees an indefinite cycle of extensions in the same way.
4. Deviation Approval: Agency Head No Longer Required (§ 200.414(c)(1)–(c)(2))
Previously, deviating from a negotiated rate required approval from "a Federal awarding agency head or delegate." The 2024 revision streamlines this to simply "the awarding Federal agency." This removes the explicit requirement for head-level sign-off, potentially making deviations somewhat easier to approve administratively.
Additionally, paragraph (c)(2) now gives recipients and subrecipients the right to notify OMB of disputes with federal agencies over negotiated rate application — a new procedural protection that did not exist before.
5. Pass-Through Entity Obligations Strengthened (§ 200.414(d))
The old rule simply said pass-throughs are "subject to the requirements in § 200.332(a)(4)." The new rule adds an affirmative obligation: pass-through entities must accept all federally negotiated indirect cost rates for subrecipients. This is a meaningful clarification that had been a source of disputes in practice.
6. Former Paragraph (h) Removed
The prior rule included a paragraph (h) requiring that negotiated indirect rates, distribution bases, and rate types be publicly available on an OMB-designated website (with a carve-out for Indian tribes). This paragraph was removed entirely from the 2024 revision. Its substance may have been relocated elsewhere in the Uniform Guidance or addressed through agency policy.
Practical Takeaways
Issue	Before (pre-Oct 2024)	After (Oct 1, 2024)
De minimis rate	Fixed 10% MTDC	Flexible, up to 15% MTDC
Rate extension repeats	Allowed repeatedly	One-time per negotiation cycle (clarified)
Deviation approval	Agency head or delegate	Agency (head no longer required)
Recipient dispute rights	None stated	May notify OMB of disputes
Pass-through duty	Vague cross-reference	Explicit duty to accept negotiated rates
Note: Per 2 CFR § 200.414, as amended effective October 1, 2024. Your institution's sponsored programs or compliance office should confirm how your cognizant agency (e.g., DHHS, ONR) is implementing the updated de minimis rate flexibility, as agency-specific guidance may supplement the regulatory floor.</t>
  </si>
  <si>
    <t>Sonnet 4.6: Normal Mode</t>
  </si>
  <si>
    <t>Good for including exact api responses for speciic policy citations and comparing correctly. Fast response</t>
  </si>
  <si>
    <t xml:space="preserve">Slower response. It had to try multiple tools bc the responses were too big for it to display. It went through title structure and search multiple times. </t>
  </si>
  <si>
    <t>Reading the eCFR research admin skillReading the eCFR research admin skillGood. Now I'll look up the relevant prior approval regulation for unbudgeted equipment purchases.Used ecfr_test integration, loaded toolsUsed ecfr_test integration, loaded toolsLoading toolsResultEEcfr get title versionsResultEEcfr get regulationResultEEcfr get regulationResultDoneNow let me also pull the budget revision section, since that's the typical vehicle for requesting prior approval on unbudgeted items.Ecfr get regulationEcfr get regulationEEcfr get regulationRequest{
  "params": {
    "title": 2,
    "date": "2024-10-01",
    "part": "200",
    "section": "200.308"
  }
}Response{
  "text": "§ 200.308 Revision of budget and program plans.\n\n============================================================\n\n(a) Approved budget in general. The approved budget for the Federal award summarizes the financial aspects of the project or program as approved during the Federal award process. It may include the Federal share and non-Federal share or only the Federal share, as determined by the Federal agency or pass-through entity.\n\n(b) Deviations from approved budget. The recipient or subrecipient must report deviations from the approved budget, project or program scope, or objective(s) in accordance with § 200.329. The recipient or subrecipient must request prior approvals from the Federal agency or pass-through entity for budget and program plan revisions in accordance with this section.\n\n(c) Requesting approval for budget revisions. When requesting approval for budget revisions, the recipient or subrecipient must use the same format for budget information that was used in their application, except if the Federal agency has approved an alternative format. Alternative formats may include the use of electronic systems, email, or other agency-approved mechanisms that document the request.\n\n(d) Federal agency or pass-through entity review. The Federal agency or pass-through entity must review the request for budget or program plan revision and should notify the recipient or subrecipient whether the revisions have been approved within 30 days of receipt of the request. The Federal agency or pass-through entity must inform the recipient or subrecipient in writing when a decision can be expected if more than 30 days is required for a review.\n\n(e) Limitation on other prior approval requirements. Unless specified in this guidance, the Federal agency must not impose additional prior approval requirements without OMB approval. See also §§ 200.102 and 200.407.\n\n(f) Revisions Requiring Prior Approval. A recipient or subrecipient must request prior written approval from the Federal agency or pass-through entity for the following program and budget-related reasons:\n\n(1) Change in the scope or the objective of the project or program (even if there is no associated budget revision requiring prior written approval).\n\n(2) Change in key personnel (including employees and contractors) that are identified by name or position in the Federal award.\n\n(3) The disengagement from a project for more than three months, or a 25 percent reduction in time and effort devoted to the Federal award over the course of the period of performance, by the approved project director or principal investigator.\n\n(4) The inclusion, unless waived by the Federal agency, of costs that require prior approval in accordance with subpart E as applicable.\n\n(5) The transfer of funds budgeted for participant support costs to other budget categories.\n\n(6) Subaward activities not proposed in the application and approved in the Federal award. A change of subrecipient only requires prior approval if the Federal agency or pass-through entity includes the requirement in the terms and conditions of the Federal award. In general, a Federal agency or pass-through entity should not require prior approval of a change of subrecipient unless the inclusion was a determining factor in the merit review or eligibility process. This requirement does not apply to procurement transactions for goods and services.\n\n(7) Changes in the total approved cost-sharing amount.\n\n(8) The need arises for additional Federal funds to complete the project. Before providing approval, the Federal agency must ensure that adequate funds are available to avoid a violation of the Antideficiency Act.\n\n(9) Transferring funds between the construction and non-construction work under a Federal award.\n\n(10) A no-cost extension (meaning, an extension of time that does not require the obligation of additional Federal funds) of the period of performance, other than any one-time extension authorized by the Federal agency in accordance with paragraph (g)(2). All requests for no-cost extensions should be submitted at least 10 calendar days before the conclusion of the period of performance. The Federal agency may approve multiple no-cost extensions under a Federal award if not prohibited by Federal statute or regulation.\n\n(g) Waiver of certain prior approvals. Except for the requirements listed in paragraphs (f)(1) through (10), the Federal agency is authorized to waive other cost-related and administrative prior written approval requirements contained in subparts D and E. Such waivers may include authorizing recipients to do one or more of the following:\n\n(1) Pre-award costs. Incur project costs 90 calendar days before the Federal award date. Expenses incurred more than 90 calendar days before the Federal award date require prior approval of the Federal agency. All costs incurred before the Federal award date are at the recipient's own risk (for example, the Federal agency is not required to reimburse such costs if the recipient does not receive the Federal award or if the Federal award is less than anticipated and inadequate to cover such costs). Pre-award costs must be charged to the initial budget period of the Federal award unless otherwise specified by the Federal agency. See also § 200.458.\n\n(2) One-time extensions. Initiate a one-time extension of the period of performance by up to 12 months unless one or more of the conditions outlined in paragraphs (g)(2)(i) through (iii) of this section apply. Prior approval is not required if a recipient is authorized in the terms and conditions of the Federal award to initiate a one-time extension. However, the recipient must notify the Federal agency in writing with the supporting justification and a revised period of performance at least 10 calendar days before the conclusion of the period of performance. A one-time extension may not be exercised for the sole purpose of using unobligated balances. This paragraph does not preclude the Federal agency from approving further no-cost extensions to the Federal award. One-time extensions require prior approval from the Federal agency when:\n\n(i) The terms and conditions of the Federal award prohibit the extension;\n\n(ii) The extension requires additional Federal funds; or\n\n(iii) The extension involves any change in the approved scope of the project.\n\n(3) Unobligated Balances. Carry forward unobligated balances to subsequent budget periods.\n\n(h) Prior approvals for research awards. The prior approval requirements for the actions described in paragraph (g) of this section are automatically waived for Federal awards that support research unless stipulated in the Federal agency's regulations or terms and conditions of the Federal award. However, one-time extensions require the Federal agency's prior approval when one of the conditions in paragraph (g)(2) of this section applies.\n\n(i) Transfer of funds. The Federal agency must not permit a transfer of funds that would cause any Federal appropriation to be used for purposes other than those consistent with the appropriation. The Federal agency may also, at its option, restrict the transfer of funds among direct cost categories (for example, personnel, travel, and supplies) or programs, functions, and activities when:\n\n(1) The Federal share of the Federal award exceeds the simplified acquisition threshold; and\n\n(2) The cumulative amount of a transfer exceeds or is expected to exceed 10 percent of the total budget, including cost share, as last approved by the Federal agency.",
  "citation": "2 CFR § 200.308",
  "title": 2,
  "part": "200",
  "section": "200.308",
  "date": "2024-10-01",
  "source_url": "https://www.ecfr.gov/current/title-2/section-200.308"
}DoneHere's a comprehensive answer grounded in the current Uniform Guidance (as of October 1, 2024).
Prior Approval Requirements for Unbudgeted Equipment Purchases
When a PI wants to purchase equipment that was not included in the original approved budget, two overlapping regulatory requirements are triggered under 2 CFR Part 200.
1. Equipment Cost Allowability — 2 CFR § 200.439
Per 2 CFR § 200.439(b) (effective October 1, 2024), prior written approval from the Federal agency (or pass-through entity) is required as follows:
Equipment TypePrior Approval ThresholdGeneral purpose equipment (e.g., computers, office furniture)Required for any direct charge, regardless of costSpecial purpose equipment (equipment used only for research/scientific purposes)Required when unit cost is $10,000 or moreCapital improvements (betterments to land, buildings, or equipment)Required for any direct charge
General purpose equipment carries the stricter standard — prior approval is needed even for low-cost items. Special purpose equipment under $10,000 may be purchased without prior approval if it was otherwise allowable.
2. Budget Revision — 2 CFR § 200.308
Because the equipment is not in the original budget, this is also a budget revision matter. Per 2 CFR § 200.308(f)(4), prior written approval is required for:
"The inclusion, unless waived by the Federal agency, of costs that require prior approval in accordance with subpart E."
Since § 200.439 costs are squarely in Subpart E, this cross-reference brings the budget revision process into play as well.
What the Prior Approval Request Must Include
Under 2 CFR § 200.308(c), the request must:
Use the same budget format as the original application (or an agency-approved alternative such as email or electronic system)
Be submitted to the Federal agency or pass-through entity before the cost is incurred
The agency has 30 days to respond; if more time is needed, they must notify you in writing with an expected decision date.
Practical Documentation Checklist
At a minimum, your prior approval package should include:
Written request (often via email or agency grants portal, or a formal budget revision form) addressed to the grants officer/program officer
Scientific/programmatic justification — why the equipment is necessary to accomplish the approved project objectives
Cost justification — vendor quotes, basis for the price, and confirmation the cost is reasonable
Revised budget showing where funds will come from (reallocation from another budget category, or request for additional funds per § 200.308(f)(8))
Equipment description — unit cost, make/model, intended use — sufficient for the agency to determine whether it is general purpose or special purpose
Important Caveats
Agency terms and conditions may be stricter. NIH, NSF, DOE, and other agencies often impose specific prior approval policies in their award terms. Always check the Notice of Award and agency-specific guidance (e.g., NIH Grants Policy Statement) — these may have lower thresholds or additional documentation requirements.
Pass-through entities (e.g., a prime grantee subawarding to your institution) step into the Federal agency's role for these approvals.
Never purchase the equipment first and seek approval retroactively. Costs incurred before prior approval is obtained are at risk of disallowance.
For definitive guidance on your specific award, work with your Sponsored Programs/Research Administration office, as they will know the specific agency's requirements and any institutional policies that go beyond the regulatory floor.</t>
  </si>
  <si>
    <t>Very fast response and includes direct policy text.</t>
  </si>
  <si>
    <t>Used ecfr_test integration, loaded tools
Used ecfr_test integration, loaded tools
Loading tools
Result
E
Ecfr get title structure
Result
E
Ecfr get title structure
Result
E
Ecfr get regulation
Result
E
Ecfr search
Result
E
Ecfr get title structure
Result
E
Ecfr get regulation
Result
E
Ecfr get regulation
Result
E
Ecfr search
Result
Done
Here is a comprehensive breakdown of the CFR sections and parts where USDA appears in a grants and contracting context, drawn directly from the live eCFR data:
USDA in the CFR: Grants &amp; Contracting Policies
Title 2 — Grants and Agreements (Subtitle B, Chapter IV)
This is the primary home for USDA-specific grants and agreements regulations. All of it falls under 2 CFR Chapter IV (parts 400–499).
2 CFR Part 415 — General Program Administrative Regulations The core USDA grants policy. Key provisions include:
§ 415.1 — Standards for discretionary grants and cooperative agreements. Requires all USDA awarding agencies to ensure open competition, independent review, conflict-of-interest safeguards, fair evaluation criteria, and compliance with OFPP Policy Letter 11-01 on inherently governmental functions. It also governs noncompetitive award exceptions (e.g., awards under $100,000, emergencies, or continuations of ongoing work).
2 CFR Part 416 — General Program Administrative Regulations for Grants and Cooperative Agreements to State and Local Governments
§ 416.1 — Special procurement provisions specific to USDA entitlement programs. Addresses eligibility rules for prospective contractors and situations where entities may be excluded from competing for procurements under USDA grants to states and localities.
2 CFR Part 417 — Nonprocurement Debarment and Suspension A detailed debarment and suspension framework for USDA, mirroring the government-wide OMB rules but with USDA-specific elaborations:
§ 417.220 — Whether procurement contracts are "covered transactions" under debarment rules — including special rules for USDA foreign assistance programs.
§ 417.221 — How debarment coverage exclusions apply to USDA food aid grant agreements.
§ 417.222 — How exclusions apply to USDA export credit guarantee and direct credit programs.
§ 417.800 — USDA-specific causes for debarment (including cross-references to pre-1989 procurement debarments).
Title 7 — Agriculture
USDA program-specific grant and contracting rules appear throughout Title 7, across several chapters:
7 CFR Chapter V (Agricultural Research Service)
Part 550 — General Administrative Policy for Non-Assistance Cooperative Agreements (ARS-specific rules for research cooperative agreements that don't constitute financial assistance).
7 CFR Chapter XIV (Commodity Credit Corporation)
Part 1485 — Grant Agreements for the Development of Foreign Markets for U.S. Agricultural Commodities (Market Access Program). Covers application review and agreement formation.
7 CFR Chapter XVIII (Rural Housing Service / Rural Business-Cooperative Service / Rural Utilities Service)
Part 1944 — Housing programs, including subparts for Housing Preservation Grants and Self-Help Technical Assistance Grants (with model grant agreement forms as appendices).
Part 1951 — Servicing and collections, including subpart E on grants under Community and Direct Business programs.
Title 48 — Federal Acquisition Regulation (FAR) System
The index notes USDA also appears in 48 CFR Chapter 4, which is the Agriculture Acquisition Regulation (AGAR) — the USDA supplement to the Federal Acquisition Regulation. This covers USDA-specific contracting (procurement) rules, such as contract clauses, acquisition procedures, and contractor requirements unique to USDA.
Summary Table
CFR Location	Topic
2 CFR Part 415	Discretionary grants/cooperative agreement competition standards
2 CFR Part 416	Grants to state/local governments — special procurement rules
2 CFR Part 417	Debarment &amp; suspension for nonprocurement transactions
7 CFR Part 550	ARS non-assistance cooperative agreements
7 CFR Part 1485	CCC foreign market development grant agreements
7 CFR Part 1944	RHS/RBS housing preservation and self-help grants
7 CFR Part 1951	Servicing of community and business program grants
48 CFR Chapter 4	Agriculture Acquisition Regulation (USDA procurement supplement to FAR)
Would you like me to pull the full text of any of these sections, or dig into a specific topic like debarment, competition requirements, or the AGAR contracting rules?</t>
  </si>
  <si>
    <t>Reading the eCFR research admin skill
Reading the eCFR research admin skill
The MTDC definition lives in 2 CFR § 200.1. Let me fetch the current regulatory text.
Used ecfr_test integration, loaded tools
Used ecfr_test integration, loaded tools
Loading tools
Result
E
Ecfr get title versions
Result
E
Ecfr get regulation
Result
E
Ecfr search
Result
E
Ecfr search
Result
Done
The MTDC definition is in 2 CFR § 200.1 (Definitions). Let me fetch it directly.
Ecfr get regulation
Ecfr get regulation
E
Ecfr get regulation
Result
Done
I have the full authoritative text. Here is the complete answer, directly from the regulation.
MTDC Exclusions Under 2 CFR § 200.1
As of October 1, 2024 (the most recent amendment to 2 CFR § 200.1), the regulation defines Modified Total Direct Cost and its required exclusions as follows:
"MTDC excludes equipment, capital expenditures, charges for patient care, rental costs, tuition remission, scholarships and fellowships, participant support costs, and the portion of each subaward in excess of $50,000."
The Eight Mandatory Exclusions
Excluded Item	Practical Implication
Equipment	Tangible personal property with a useful life &gt;1 year and unit cost ≥ $10,000 (per the § 200.1 equipment definition)
Capital expenditures	Expenditures to acquire or improve capital assets
Charges for patient care	Clinical costs billed to patients or third-party payers
Rental costs	Costs for renting real or personal property
Tuition remission	Graduate student tuition paid as part of compensation
Scholarships and fellowships	Awards to students that are not compensation for services
Participant support costs	Stipends, subsistence, travel, and registration fees paid directly to or on behalf of participants
Subaward amounts over $50,000	Only the first $50,000 of each subaward counts in MTDC; the excess is excluded (regardless of subaward duration)
The Escape Valve for Other Exclusions
The regulation includes one additional provision worth noting:
"Other items may only be excluded when necessary to avoid a serious inequity in the distribution of indirect costs and with the approval of the cognizant agency for indirect costs."
This means your institution cannot unilaterally exclude additional cost categories — any non-enumerated exclusion requires a documented justification of inequity and written approval from your cognizant federal agency (e.g., DHHS, ONR, NSF, depending on your institution type).
Citation: 2 CFR § 200.1, as amended at 89 FR 79732, Oct. 1, 2024.
⚠️ Practice note: Always verify that your institution's negotiated indirect cost rate agreement (NICRA) doesn't impose additional or different MTDC treatment — some agencies negotiate rate-specific exclusions that go beyond the regulatory floor. When in doubt, consult your sponsored programs office or cognizant agency representative.</t>
  </si>
  <si>
    <t>The MCP tools for eCFR are not accessible via bash. Let me fetch the current regulation directly from the eCFR website.Searched the webSearched the webHere is the authoritative answer, grounded in the current regulatory text from 2 CFR § 200.1 (Uniform Guidance), as of the eCFR's most recent update through early 2026.
MTDC Exclusions — Per 2 CFR § 200.1
MTDC includes all direct salaries and wages, applicable fringe benefits, materials and supplies, services, travel, and up to the first $50,000 of each subaward (regardless of the period of performance of the subawards under the award). eCFR
The following cost categories must be excluded from the MTDC base:
Equipment
Capital expenditures
Charges for patient care
Rental costs
Tuition remission
Scholarships and fellowships
Participant support costs
The portion of each subaward in excess of $50,000
eCFR
A Few Key Practical Notes
The $50,000 subaward cap is important: only the first $50,000 of each individual subaward is included in the MTDC base. Amounts above that threshold per subaward are excluded — regardless of how long the subaward runs or how many subawards exist on the project.
"Equipment" under the Uniform Guidance generally means items with a unit cost at or above the capitalization threshold (often $5,000, though institutions set their own threshold). Items below that threshold are typically "supplies" and are included in MTDC.
Additional exclusions are possible, but only in limited circumstances. Per the regulation, other items may only be excluded when necessary to avoid a serious inequity in the distribution of indirect costs, and only with the approval of the cognizant agency for indirect costs.
⚠️ Important: The subaward cap was raised from $25,000 to $50,000 in a 2020 revision to the Uniform Guidance. If your institution is operating under an older negotiated indirect cost rate agreement (NICRA) that pre-dates this revision, the applicable threshold in your rate agreement controls. Always confirm with your cognizant agency or Office of Sponsored Programs.
Citation: 2 CFR § 200.1 (Title 2, Subtitle A, Chapter II, Part 200), as updated through February 26, 2026.</t>
  </si>
  <si>
    <t>Did NOT execute.
Error executing tool ecfr_get_regulation: Server error 503 for versioner/v1/full/2024-10-01/title-2.xml after 2 retries</t>
  </si>
  <si>
    <t>Reading the eCFR research admin skill
Reading the eCFR research admin skill
I'll look up the key regulatory provisions governing NIH salary cap, institutional base salary, and cost sharing. Let me fetch the current authoritative text.
Searched the web
Searched the web
This is a rich area with several interlocking rules. Here's a thorough breakdown grounded in current NIH policy and the Uniform Guidance (2 CFR 200).
NIH Salary Cap, Institutional Base Salary, and Cost Sharing: How They Interact
1. The Salary Cap: What It Is and Current Level
Since 1990, Congress has legislatively mandated a limitation on the salary NIH can pay individuals under grants and cooperative agreements. The cap is tied to Executive Level II of the Federal Executive Pay Scale. 
Grants &amp; Funding
The current cap, effective January 1, 2026 through September 30, 2026, is $228,000 annually. 
NIH Grants
 This is established by NIH Notice NOT-OD-26-034.
The limitation applies to all HHS agencies — NIH, AHRQ, SAMHSA, HRSA, CDC, and others — and also flows down to subawards issued with HHS funds as the prime source. 
University of Arizona Research
Important expansion as of October 2024: Effective October 1, 2024, the mandate was extended to apply to both direct salaries (individuals working directly on NIH projects) and indirect salaries (executive salaries in various uncapped cost pools), per NOT-OD-25-025. This change applies to new awards, competing renewals, and noncompeting continuations issued on or after that date. 
NIAID
2. Institutional Base Salary (IBS): The Foundation for All Calculations
"Direct salary" has the same meaning as "institutional base salary." An individual's IBS is the annual compensation that the applicant organization pays for the individual's appointment, whether time is spent on research, teaching, patient care, or other activities. Base salary excludes any income the individual may be permitted to earn outside of duties to the applicant organization. 
Grants &amp; Funding
IBS includes an individual's academic-year salary as well as any stipend received from performing administrative duties, such as serving as a center director, department chair, or program director. 
Division of Research
IBS does not include additional pay, extra pay, bonuses, or supplemental pay. 
Gatech
In proposal budgets: The full uncapped IBS should be included in the "Institutional Base Salary" section of the proposal. The sponsor will then adjust the awarded amount to the cap in effect at the time of award. 
University of Washington
3. How the Cap Interacts with IBS: The Core Calculation
When an individual's IBS exceeds the salary cap, only the capped amount can be charged to the NIH award for a given level of effort. The formula is:
Allowable grant charge = (Salary Cap ÷ IBS) × Effort % × IBS
Which simplifies to: Allowable grant charge = Salary Cap × Effort %
Example (from University of Washington guidance): For a faculty member with an IBS of $250,000 working 10% on a grant, you cannot charge 10% of $250,000 ($25,000). You can only charge 10% of the cap. The difference — 10% of the $22,000 over-the-cap amount — becomes salary cap cost sharing. 
University of Washington
4. The Cost Sharing Question: A Critical Distinction
This is where practice varies significantly across institutions and where compliance risk is highest. There are two competing positions:
Position A — Salary over the cap IS mandatory cost sharing (e.g., Brown, UNC, many R1s): Some institutions treat academic or calendar-year salary in excess of the imposed cap as mandatory cost sharing, since the institution must cover that portion from non-federal sources. 
Division of Research
 The arithmetic is: IBS − Salary Cap = Cost Share Base Salary.
Position B — Salary over the cap is NOT allowable cost sharing (e.g., University of Washington, Cornell): Under this view, salary cap cost sharing is an unallowable expense on the award — salary over the cap is simply unallowable and should not be included on the Cost Share Addendum. 
University of Washington
Similarly, Cornell's guidance states that effort in excess of NIH's salary cap is unallowable toward a cost share commitment, but still needs to be tracked in a cost share sub-account. 
Cornell University
Why the distinction matters: Under 2 CFR § 200.306, cost sharing must consist of allowable costs. If over-the-cap salary is deemed unallowable on the federal award, it cannot be counted as matching or cost sharing against the federal grant — but the institution still must cover it. This affects how the commitment is reported, whether it appears in effort reporting systems, and audit exposure.
Practical takeaway: Your institution's own policy governs how it classifies and tracks this — check with your sponsored programs office. Both approaches appear in practice, but they have different audit implications.
5. Rebudgeting When the Cap Increases
When the cap increases mid-award, institutions may rebudget on active awards — but only if (a) adequate funds are available, and (b) the salary cap increase is consistent with the institutional base salary. Recipients may not draw down funds, whether direct or indirect costs, to pay salaries above the rate limitation, and must have established policies and procedures consistently applied regardless of the source of funds. 
Grants &amp; Funding
No additional funds will be provided by NIH when institutions rebudget up to the new cap. The associated fringe benefits and F&amp;A charges will also increase relative to the salary increase, and institutions should review cost sharing templates and make updates as needed. 
MIT
6. The Non-Federal Supplement Option
If an individual's institutional salary is higher than the NIH cap, the institution may use non-federal sources of funding to cover the difference. However, individuals may not get paid beyond the salary cap by rebudgeting from other budget categories within the grant. 
NIAID
Summary Table
Concept	Rule
Salary cap (current)	$228,000/year (effective Jan 1, 2026)
IBS definition	Total guaranteed institutional compensation; excludes outside income and bonuses
Cap applies to	Direct salaries + indirect/executive salaries in cost pools (since Oct 1, 2024)
Over-cap salary treatment	Covered by non-federal institutional funds; whether it counts as cost sharing depends on institutional policy
Rebudgeting	Allowed when cap increases, if funds available and consistent with IBS
Proposal budgets	Show full IBS; NIH adjusts the award to the applicable cap
Subawards	Cap flows down; cap rate is based on the prime award NOA date
A note on regulatory grounding: The salary cap itself is a statutory mandate in the annual HHS Appropriations Act, not in the CFR. The cost sharing rules are in 2 CFR § 200.306. The IBS definition is in NIH policy (the NIH Grants Policy Statement) and NIH Guide notices (most recently NOT-OD-26-034 for FY2026). Your compliance office should be the first call for award-specific questions, as the NIH Grants Management Specialist on your Notice of Award is the authoritative source for any specific award.</t>
  </si>
  <si>
    <t>Can an institution charge salary to a federal award based on an employee’s full institutional salary?</t>
  </si>
  <si>
    <t>Now let me fetch the relevant regulation on compensation/salary charges to federal awards.Used ecfr_test integration, loaded toolsUsed ecfr_test integration, loaded toolsLoading toolsResultEEcfr get title versionsResultEEcfr get regulationResultEEcfr get regulationResultDoneGreat — I have the full text of the controlling regulation. Here's a comprehensive answer grounded in the current regulatory text.
Salary Charges to Federal Awards: The IBS Rule
Short answer: Yes, but only up to the employee's Institutional Base Salary (IBS) rate — and only proportionate to the time spent on the award.
The governing regulation is 2 CFR § 200.430 – Compensation—personal services, last amended October 1, 2024.
The Core Rule (§ 200.430(i)(2) — IHEs)
For Institutions of Higher Education (IHEs), the regulation is explicit:
Charges for work performed on Federal awards by faculty members during the academic year are allowable at the IBS rate. In no event will charges to Federal awards, irrespective of the basis of computation, exceed the proportionate share of the IBS for that period.
IBS is defined as the annual compensation paid by the IHE for an individual's appointment, whether time is spent on research, instruction, administration, or other activities. Critically, IBS excludes any income an individual earns outside of duties performed for the IHE (e.g., outside consulting income).
So if a faculty member's IBS is $150,000 and they spend 25% of their time on a federal award, the institution may charge up to $37,500 — not a dollar more, and not based on any inflated or supplemented salary figure.
Key Practical Points
1. IBS is the ceiling, not the floor.
The regulation does not allow charging a salary above IBS to a federal award under any circumstance, except for the narrow "extra service pay" and "incidental activities" exceptions described below.
2. Outside income is excluded from IBS.
If a faculty member earns consulting fees or other income from outside the institution, that income is not part of IBS and cannot be included in the basis for federal award charges.
3. The 100% cap.
Under § 200.430(g)(1)(iii), effort records must "reasonably reflect the total activity for which the employee is compensated by the recipient or subrecipient, not exceeding 100 percent of compensated activities (for IHEs, this is the IBS)." You cannot charge more than 100% of IBS across all activities combined.
4. Periods outside the academic year.
During summer or other periods not included in the base salary period, charges for work on federal awards must be at a rate not more than the IBS (§ 200.430(i)(5)(i)). The same ceiling applies — the period just runs differently.
5. Extra service pay is the narrow exception.
Under § 200.430(i)(4), "extra service pay" (overload compensation above IBS) can be charged to federal awards, but only if all of these conditions are met:
The IHE has a consistent written policy applied uniformly to all faculty (not just federally funded ones)
There is a written definition of what work is covered by IBS
The supplemental amount is commensurate with the IBS rate and additional work
Total salaries remain within the IHE's documented salary structure
All documentation standards under § 200.430(g) are met
The Federal agency expressly authorizes the arrangement in the award budget or in writing
For Non-IHE Recipients
For non-IHE organizations (nonprofits, state/local governments, etc.), the framework is somewhat more flexible — § 200.430(a) allows compensation "to the extent it is reasonable for the services rendered and conforms to the established written policy of the recipient consistently applied to both Federal and non-Federal activities." The IBS concept is specific to IHEs; other entities use their own documented, consistently-applied compensation policies as the benchmark.
Bottom Line for Compliance Officers
ScenarioAllowable?Charging salary at IBS rate, proportionate to effort✅ YesCharging salary above IBS without prior federal agency approval❌ NoIncluding outside consulting income in salary base❌ NoSummer salary at IBS rate (proportionate to effort)✅ YesExtra service pay, written policy, federal approval✅ Yes (with conditions)Budget estimates alone as the support for charges❌ No (must have after-the-fact reconciliation)
Cite specifically: 2 CFR § 200.430(i)(2) for the IBS rule; § 200.430(i)(4) for extra service pay; § 200.430(g) for documentation requirements.
⚠️ This is regulatory analysis, not legal advice. Your institution's sponsored programs office and legal counsel should be consulted on specific situations, and your cognizant federal agency may have additional guidance or award-specific conditions that apply.</t>
  </si>
  <si>
    <t>Says Depends</t>
  </si>
  <si>
    <t>Great question, and the answer is nuanced — it depends on whether the employee is faculty at an Institution of Higher Education (IHE) or non-faculty/non-IHE staff. Here's the breakdown under 2 CFR § 200.430:
The Core Rule: Proportionate Share of IBS, Not the Full Salary
For faculty at IHEs, the answer is generally no — an institution cannot charge a federal award for an employee's full institutional salary unless the employee devotes 100% of their effort to that award.
Charges for work performed on Federal awards by faculty members during the academic year are allowable at the Institutional Base Salary (IBS) rate. In no event will charges to Federal awards, irrespective of the basis of computation, exceed the proportionate share of the IBS for that period. Unless there is prior approval by the Federal agency, charges of a faculty member's salary to a Federal award may not exceed the proportionate share of the IBS for the period during which the faculty member worked on the Federal award. Legal Information Institute
So if a faculty member devotes 25% of their effort to a federal award, only 25% of their IBS may be charged to that award.
What Is Institutional Base Salary (IBS)?
IBS is the annual compensation paid by an IHE for an individual's appointment, whether that individual's time is spent on research, instruction, administration, or other activities. IBS excludes any income an individual earns outside of duties performed for the IHE. GovRegs
This means outside consulting income, summer compensation beyond the appointment base, or other external earnings do not factor in.
Can an Employee Ever Charge More Than Their Proportionate Share?
Only in limited circumstances:
Summer salary for 9-month faculty: Faculty on academic-year appointments may charge additional compensation in the summer, but still only up to the proportionate IBS rate for that period and consistent with institutional policy.
Extra service pay / overload: Extra service pay typically represents overload compensation for services above and beyond IBS. It is allowable if the IHE establishes consistent written policies applying uniformly to all faculty, establishes a consistent written definition of work covered by IBS, ensures the supplementation amount is commensurate with the IBS rate and additional work performed, and that the salaries as supplemented fall within the salary structure established by the institution. Legal Information Institute
What About Non-Faculty or Non-IHE Employees?
For non-IHE entities (e.g., nonprofits, state agencies), the IBS framework doesn't apply in the same way, but the general requirement that charges must be reasonable, allocable, and reflect actual work performed still applies under 2 CFR § 200.430(a) and the allowability standards in § 200.405–200.406. The proportionate effort principle still governs — you charge what corresponds to the actual time spent on the award.
Key Compliance Takeaway
Charging a full salary to a federal award is only appropriate if the employee devoted 100% of their compensated effort to that award during the relevant period. Doing otherwise — charging the full salary while the employee is also working on other activities — is an unallowable cost and a frequent audit finding.
Always ensure your institution has written policies, strong internal controls, and after-the-fact review processes to support whatever salary charges are made, per 2 CFR § 200.430(g)/(i).
💡 Note: If your institution has specific agency awards (e.g., NIH), some agencies impose additional caps (like the NIH Senior/Key Personnel salary cap). Those agency-specific limits layer on top of the UG requirements.
Would you like me to look up NIH salary cap rules or dig further into documentation requirements?</t>
  </si>
  <si>
    <t>Results from tool did not ork so it used web search instead.</t>
  </si>
  <si>
    <t>Good — I have the skill instructions. The question is about salary charges to federal awards, which falls under 2 CFR Part 200 (Uniform Guidance). The key section is § 200.430 on compensation for personal services. Let me fetch the current regulatory text.Used ecfr_test integration, loaded toolsUsed ecfr_test integration, loaded toolsLoading toolsResultEEcfr get title versionsResultEEcfr get regulationResultEEcfr get regulationRequest{
  "date": "2024-10-01",
  "part": "200",
  "section": "200.430",
  "title": 2
}ErrorError executing tool ecfr_get_regulation: Request timed out for versioner/v1/full/2024-10-01/title-2.xml after 2 retries.DoneThe eCFR API is timing out on full-text fetches right now. Let me fetch the regulation directly from the eCFR website instead.Searched the webSearched the webHere is a thorough answer grounded in the current text of 2 CFR § 200.430 (as amended through October 1, 2024, the latest amendment date):
Short Answer
Yes — but only up to the proportionate share, not the full salary. An institution can charge salary to a federal award based on an employee's full Institutional Base Salary (IBS) rate, but the amount charged must be limited to the proportionate share of that IBS corresponding to the time actually worked on the award. You cannot charge 100% of IBS unless the employee devoted 100% of their compensated effort to that award.
The Regulatory Rule
Per 2 CFR § 200.430(h)(2) (Salary Basis):
Charges for work performed on Federal awards by faculty members during the academic year are allowable at the IBS rate. In no event will charges to Federal awards, irrespective of the basis of computation, exceed the proportionate share of the IBS for that period. This principle applies to all members of the faculty at an institution. Legal Information InstituteGovRegs
What Is IBS?
IBS is the annual compensation paid by an IHE for an individual's appointment, whether that individual's time is spent on research, instruction, administration, or other activities. IBS excludes any income an individual earns outside of duties performed for the IHE. GovRegs
In plain terms: IBS is the base salary the institution pays — it does not include outside income, consulting fees, or income from other employers.
The Cap on Federal Charges
Unless there is prior approval by the Federal agency, charges of a faculty member's salary to a Federal award may not exceed the proportionate share of the IBS for the period during which the faculty member worked on the Federal award. GovRegs
So the formula is effectively:
Allowable charge = IBS rate × % effort devoted to the award
Key Practical Points
1. Effort must reflect reality. Charges to Federal awards for salaries and wages must be based on records that accurately reflect the work performed, and must reasonably reflect the total activity for which the employee is compensated, not exceeding 100%. Cohortforresearch
2. Extra service / overload pay has special rules. Extra service pay typically represents overload compensation, subject to institutional compensation policies for services above and beyond IBS. GovRegs It is allowable only if the IHE has consistent written policies, a consistent written definition of what IBS covers, and the supplemental amount is commensurate with the IBS rate and additional work performed.
3. Intra-IHE consulting is not separately compensable. Intra-IHE consulting by faculty should be undertaken as an IHE responsibility requiring no compensation in addition to IBS. GovRegs
4. NIH/PHS awards have an additional cap. Note that for NIH awards specifically, there is a separate statutory cap (the NIH salary cap) that may be lower than an individual's IBS. That cap is set annually by Congress and is not found in 2 CFR 200 itself — your sponsored programs office should be consulted for the current year's cap.
Bottom Line
The IBS serves as the rate base for calculating allowable salary charges — not a ceiling that can be charged in full. The institution must charge only the proportionate share reflecting actual effort, maintain internal controls and documentation to support that allocation, and never use federal awards to subsidize activities unrelated to the award.
Citation: 2 CFR § 200.430(h)(2) — effective October 1, 2024 (latest amendment). Always verify with your sponsored programs or compliance office for agency-specific restrictions that may be more limiting than the Uniform Guidance baseline.</t>
  </si>
  <si>
    <t>Reading the eCFR research admin skill
Loading tools
Result
E
Ecfr get title versions
Result
E
Ecfr get regulation
Result
Done
The answer is directly in the regulatory text. Here's what the regulation says:
Per 2 CFR § 200.1 (as of October 1, 2024 — the most recent amendment to the Uniform Guidance)
The definition of Modified Total Direct Cost (MTDC) specifies the following items that must be excluded from the base:
Equipment — tangible personal property with a useful life &gt;1 year and per-unit acquisition cost ≥ the lesser of the recipient's capitalization level or $10,000
Capital expenditures — expenditures to acquire or materially improve capital assets
Charges for patient care
Rental costs
Tuition remission
Scholarships and fellowships
Participant support costs — stipends, subsistence allowances, travel allowances, registration fees, etc. paid to or on behalf of participants
The portion of each subaward in excess of $50,000 — only the first $50,000 of each subaward is included in MTDC, regardless of the subaward's period of performance
The regulation also provides a limited "catch-all" exclusion: other items may only be excluded when necessary to avoid a serious inequity in the distribution of indirect costs, and only with the approval of the cognizant agency for indirect costs. This is a narrow exception and requires explicit agency approval — it cannot be applied unilaterally.
Practical implications for research administrators:
Subawards are one of the most commonly misapplied items. Only the first $50,000 per subaward counts toward MTDC — not the cumulative total across all subawards to the same subrecipient under a given award. Each subaward is capped separately.
Participant support costs became a defined term under the 2024 revision, so institutions should ensure their F&amp;A rate agreements clearly document how these are handled.
If your institution wants to exclude any cost category beyond the eight listed above, that requires a formal agreement with your cognizant agency for indirect costs (typically DHHS, ONR, or another lead agency depending on your institution type).
The authoritative source is 2 CFR § 200.1 (definition of MTDC) in conjunction with your institution's negotiated indirect cost rate agreement (NICRA).</t>
  </si>
  <si>
    <t>Used ecfr_test integration, viewed a file, loaded tools
Reading the eCFR research admin skill
Loading tools
Result
E
Ecfr get title versions
Result
E
Ecfr get regulation
Result
E
Ecfr search
Result
E
Ecfr get title versions
Result
Done
The old § 200.68 was removed in 2021 — the MTDC definition was consolidated into § 200.1. Let me fetch the current definitions section.
Ecfr get regulation
Ecfr get regulation
E
Ecfr get regulation
Result
Claude's response could not be fully generated</t>
  </si>
  <si>
    <t xml:space="preserve">Got the $10,0000 equipment definition. No practical tip.
</t>
  </si>
  <si>
    <t>Show for Demo</t>
  </si>
  <si>
    <t>Great choice in the dates and excerpt search</t>
  </si>
  <si>
    <t>Let me pull the current regulatory text for the relevant sections — equipment capitalization (§ 200.439) and procurement standards (§ 200.317–200.327) — and then compare against the prior version to identify what changed.Used ecfr_test integrationUsed ecfr_test integrationEEcfr get title versionsResultEEcfr get title versionsResultEEcfr compare regulationsResultDoneNow let me check procurement thresholds (micro-purchase and simplified acquisition):Ecfr compare regulationsEcfr compare regulationsEEcfr compare regulationsResultDoneHere's a thorough breakdown of everything that changed in the 2024 Uniform Guidance update (effective October 1, 2024) for both equipment capitalization and procurement methods:
Equipment Capitalization Threshold — § 200.439
The key change: $5,000 → $10,000
The most consequential update is a doubling of the special purpose equipment capitalization threshold. Under the prior (2020) rule, items with a unit cost of $5,000 or more required prior written federal approval when charged as a direct cost. The current rule raises that to $10,000 or more.
What this means in practice: Equipment purchases under $10,000 that qualify as special purpose equipment no longer require prior approval from the federal agency or pass-through entity before charging them as direct costs.
Framing shift for general purpose equipment and improvements
The 2024 rule also reworded the language for general purpose equipment (buildings, land) and capital improvements — changing them from "unallowable as direct charges, except with prior written approval" to "allowable as direct costs, but only with prior written approval." The substantive requirement (you still need prior approval) is the same, but the framing is now permissive rather than restrictive. This is a compliance posture clarification more than a policy change.
Terminology update
"Federal awarding agency" and "non-Federal entity" were replaced throughout with "Federal agency" and "recipient or subrecipient" — consistent with the broader 2024 rewrite's plain-language and terminology overhaul.
Procurement Methods — § 200.320
No change to the dollar thresholds themselves
The micro-purchase threshold (currently $10,000 under FAR) and simplified acquisition threshold (currently $250,000 under FAR) were not changed in the 2024 rule — those figures live in § 200.1 definitions and are pegged to the FAR. The flexibility for institutions to self-certify up to $50,000 (or seek approval above that) also carried over unchanged.
"Small purchases" renamed "Simplified acquisitions"
The informal procurement tier between micro-purchase and the simplified acquisition threshold was previously called "small purchase procedures." The 2024 revision renamed it "simplified acquisitions" to align with FAR terminology. The rules are substantively the same — obtain price quotes from an adequate number of qualified sources — but the 2024 version explicitly gives recipients/subrecipients judgment on what "adequate number" means (unless the federal agency specifies otherwise), which was implied but not stated before.
Noncompetitive procurement: tighter written approval requirement
The old rule said noncompetitive procurement could be used if "the Federal awarding agency or pass-through entity expressly authorizes a noncompetitive procurement in response to a written request." The 2024 version restructures this: the recipient/subrecipient must request in writing, and the agency must provide written approval — the same substance, but the two-step process is now explicit.
Bid rejection: new mandatory documentation requirement
Under the old rule, "any or all bids may be rejected if there is a sound documented reason." The 2024 rule now says the recipient or subrecipient must document and provide a justification for all bids it rejects — this is a new affirmative obligation, not just good practice.
Summary Table
IssuePre-2024 (2020 Rule)2024 Rule (Effective Oct. 1, 2024)Special purpose equipment prior-approval threshold$5,000+$10,000+General/land equipment"Unallowable except with approval""Allowable but only with approval"Small purchase tier name"Small purchases""Simplified acquisitions"Noncompetitive approvalAgency "expressly authorizes"Recipient requests in writing; agency gives written approvalBid rejection documentationMay reject with "sound documented reason"Must document and justify all rejected bidsTerminology"Non-Federal entity" / "Federal awarding agency""Recipient or subrecipient" / "Federal agency"
The $10,000 equipment threshold is the most operationally significant change — it reduces the administrative burden on recipients purchasing specialized lab, field, or program equipment under $10,000 without requiring advance federal sign-off.</t>
  </si>
  <si>
    <t>New chat every time. Normal style. Each prompt includes the SKILL.MD. With the MCP tool, it uses regulatory_index resource.</t>
  </si>
  <si>
    <t>If a chat response does not generate then score =  1.</t>
  </si>
  <si>
    <t>Yes, show the search queries</t>
  </si>
  <si>
    <t>Now let me look up the records retention requirements in the Uniform Guidance.Used ecfr_test integration, loaded toolsUsed ecfr_test integration, loaded toolsLoading toolsResultEEcfr get title versionsResultEEcfr get regulationResultEEcfr get title versionsResultEEcfr get regulationResultDoneHere is a comprehensive answer grounded in the current regulatory text, as of the October 1, 2024 amendment to the Uniform Guidance.
Records Retention After Federal Award Closeout
Governing regulation: 2 CFR § 200.334 (Record retention requirements)
The Core Rule: 3 Years
Per 2 CFR § 200.334, recipients and subrecipients must retain all Federal award records — including financial records, supporting documentation, and statistical records — for three years from the date of submission of their final financial report. For awards renewed on a quarterly or annual basis, the three-year clock runs from submission of the relevant quarterly or annual financial report.
Federal agencies and pass-through entities may not impose additional retention requirements beyond what the regulation specifies, except as noted in the exceptions below.
Exceptions That Extend (or Alter) the Three-Year Period
The regulation carves out six important exceptions:
(a) Litigation, Claims, or Audit Findings
If any litigation, claim, or audit is started before the three-year period expires, records must be retained until all findings are resolved and final action has been taken — even if that extends well beyond three years.
(b) Written Notification to Extend
If the Federal agency, pass-through entity, cognizant agency for audit, oversight agency for audit, or cognizant agency for indirect costs notifies the recipient or subrecipient in writing to extend the retention period, that written directive controls.
(c) Property and Equipment
Records for property and equipment acquired with Federal funds must be retained for three years after final disposition of that property — not from the date of the final financial report.
(d) Records Transferred to the Federal Agency
The standard three-year rule does not apply when records have been transferred to or are maintained by the Federal agency itself.
(e) Post-Period-of-Performance Program Income
If the award terms require reporting on program income earned after the period of performance, those records must be kept for three years from the end of the fiscal year in which that program income is earned.
(f) Indirect Cost Rate Records
The clock on indirect cost rate computations, cost allocation plans, and similar accounting computations depends on whether the proposal was submitted for negotiation:
If submitted for negotiation: the three-year period starts from the date of submission to the Federal Government.
If not submitted for negotiation: the three-year period starts from the end of the fiscal year (or accounting period) covered by the proposal or plan.
Transfer of Records with Long-Term Value
Under 2 CFR § 200.335, the Federal agency must request transfer of records it determines have long-term retention value. Alternatively, it may arrange for the recipient or subrecipient to retain those records, provided they remain continuously available to the Federal Government.
Practical Takeaways for Research Administrators
Record TypeRetention Clock StartsGeneral financial &amp; programmatic recordsDate of final financial report submissionProperty/equipment acquired with federal fundsDate of final dispositionPost-period program income recordsEnd of fiscal year income was earnedIndirect cost rate proposals (submitted)Date of submissionIndirect cost rate proposals (not submitted)End of fiscal year coveredRecords under active litigation/auditUntil resolution + final action
⚠️ Important caveat: Many federal agencies and institutions have policies that are stricter than the Uniform Guidance minimums — always check your agency terms and conditions and your institutional policy. The NIH Grants Policy Statement, for example, may impose additional requirements not captured in the CFR. When in doubt, consult your sponsored programs office or legal counsel.</t>
  </si>
  <si>
    <t xml:space="preserve">Reading the eCFR research admin skill
Reading the eCFR research admin skill
Now let me look up the relevant sections in the eCFR. I'll start by searching for subrecipient monitoring and risk assessment.
Used ecfr_test integration, loaded tools
Used ecfr_test integration, loaded tools
Loading tools
Result
E
Ecfr get title versions
Result
E
Ecfr get regulation
Result
Done
Now let me also pull the specific conditions section (§ 200.208) since it's referenced for high-risk subrecipients.
Ecfr get regulation
Ecfr get regulation
E
Ecfr get regulation
Result
Done
I now have the full, current regulatory text. Here is a comprehensive breakdown of the requirements.
Subrecipient Monitoring &amp; Risk Assessment Under the Uniform Guidance
Based on 2 CFR Part 200, as of October 1, 2024 — the most recent amendment date.
The core requirements live in 2 CFR § 200.332 (Requirements for pass-through entities). The structure has three interlocking obligations: risk assessment, ongoing monitoring, and escalated tools for higher-risk subrecipients.
1. Risk Assessment (§ 200.332(c))
Before the subaward begins — and on an ongoing basis — the pass-through entity (PTE) must evaluate each subrecipient's fraud risk and risk of noncompliance. The regulation specifies four factors to consider:
Prior experience with the same or similar subawards
Results of previous audits, including whether the subrecipient receives a Single Audit (Subpart F) and whether similar subawards have been audited as a major program
New personnel or substantially changed systems at the subrecipient
Results of Federal agency monitoring — for example, if the subrecipient also receives direct Federal awards from the same agency
This risk assessment is not a one-time event at award. It informs the level and type of monitoring the PTE must apply throughout the subaward period.
2. Baseline Monitoring Requirements (§ 200.332(e))
Regardless of risk level, a PTE must do all of the following:
Review financial and performance reports from the subrecipient
Ensure corrective action on all significant developments that negatively affect the subaward — this includes Single Audit findings, other audit findings, site visit outcomes, and written notifications from the subrecipient about adverse conditions affecting milestones
Issue a management decision for audit findings pertaining specifically to the subaward (per § 200.521)
Resolve subaward-specific audit findings (though the PTE is not responsible for cross-cutting findings that span multiple awards — those go to the cognizant audit agency)
Verify Single Audit compliance (§ 200.332(g)) — confirm the subrecipient is audited as required by Subpart F
Consider adjustments to the PTE's own records based on audit and monitoring results (§ 200.332(h))
Consider enforcement action against noncompliant subrecipients under § 200.339 (§ 200.332(i))
The PTE also bears responsibility for the overall performance of the subrecipient — not just financial compliance, but whether the goals and objectives of the subaward are being achieved.
3. Risk-Calibrated Monitoring Tools (§ 200.332(f))
Based on the risk assessment in paragraph (c), the PTE may employ any of these escalated tools:
Training and technical assistance on program-related matters
Site visits to review program operations directly
Agreed-upon-procedures (AUP) engagements under § 200.425 (essentially a limited-scope attestation by an independent auditor)
The regulation frames these as optional tools calibrated to assessed risk — but in practice, a well-documented risk assessment that identifies elevated risk will be expected to result in the use of one or more of these tools.
4. Specific Conditions for High-Risk Subrecipients (§ 200.208, referenced by § 200.332(d))
If the risk assessment warrants it, the PTE may (and should) impose specific conditions on the subaward. These can include:
Requiring reimbursement payments instead of advances
Withholding authority to proceed to the next phase pending evidence of performance
Requiring additional or more detailed financial reports
Requiring additional project monitoring
Mandating technical or management assistance
Establishing additional prior approval requirements
Critically, before imposing specific conditions, the PTE must notify the subrecipient in writing of: what the conditions are, why they're being imposed, what's required to remove them, the timeline for doing so, and how to request reconsideration. Specific conditions must be promptly removed once the underlying concerns have been addressed.
Practical Compliance Takeaways
Requirement	Regulatory Hook
SAM.gov debarment check	§ 200.332(a)
Subaward documentation (FAIN, period of performance, etc.)	§ 200.332(b)
Risk assessment (fraud + noncompliance)	§ 200.332(c)
Specific conditions for high-risk subrecipients	§ 200.332(d) + § 200.208
Ongoing monitoring (reports, corrective action, audit findings)	§ 200.332(e)
Risk-tiered tools (site visits, AUPs, T&amp;A)	§ 200.332(f)
Single Audit verification	§ 200.332(g)
Enforcement against noncompliant subrecipients	§ 200.332(i) + § 200.339
Important note: The Uniform Guidance sets minimum federal requirements. Your institution's sponsored programs office may have policies that are stricter, and individual federal agencies (NIH, NSF, DOE, etc.) may layer on additional subaward monitoring requirements through their grants policy statements and award terms. Always verify against agency-specific guidance and consult your institutional compliance office for interpretive questions.
</t>
  </si>
  <si>
    <t>I don't have a direct MCP connection to the eCFR tools in this session, so I'll pull the current regulatory text directly from the eCFR website.Searched the webSearched the webHere is a thorough breakdown of subrecipient monitoring requirements under the Uniform Guidance, grounded in the current text of 2 CFR § 200.332 (Requirements for Pass-Through Entities).
Subrecipient Monitoring Under 2 CFR § 200.332
1. Pre-Award: Eligibility Verification
Before issuing any subaward, the pass-through entity (PTE) must confirm the subrecipient is not suspended, debarred, or otherwise excluded. Verification methods include confirming in SAM.gov that a potential subrecipient is not excluded from receiving Federal funds, per § 180.300. eCFR
2. Risk Assessment (§ 200.332(c)) — The Core Requirement
Pass-through entities must evaluate each subrecipient's fraud risk and risk of noncompliance with a subaward to determine the appropriate monitoring approach. eCFR The regulation specifies four factors to consider:
The subrecipient's prior experience with the same or similar subawards
The results of previous audits — including whether the subrecipient receives a Single Audit and the extent to which similar subawards have been audited as a major program
Whether the subrecipient has new personnel or new or substantially changed systems
The extent and results of any Federal agency monitoring (e.g., if the subrecipient also receives Federal awards directly from the Federal agency)
Legal Information Institute
Practice note: Pass-through entities may identify additional risk evaluation criteria beyond those listed in § 200.332, including a review of public information in Responsibility/Qualifications records. PTEs must document their risk assessment policies and procedures, as well as risk reviews for each subrecipient. National Endowment for the Humanities
3. Subaward Conditions (§ 200.332(d))
Based on the risk assessment, if appropriate, the PTE should consider implementing specific conditions in a subaward as described in § 200.208, and notify the Federal agency of those conditions. Legal Information Institute
Pass-through entities must promptly remove specific subaward conditions once subrecipients have resolved the underlying issues. National Endowment for the Humanities
4. Ongoing Monitoring (§ 200.332(e)/(f))
The PTE must monitor the activities of a subrecipient as necessary to ensure compliance with Federal statutes, regulations, and the terms and conditions of the subaward. RESEARCH
At a minimum, PTEs must monitor: timely review of performance and financial reports required under subaward agreements; and audit or other on-site reviews, including a Single Audit if the subrecipient expects to expend $750,000 or more in Federal awards during its fiscal year. National Endowment for the Humanities
Risk-scaled monitoring tools (§ 200.332(f)) — depending on the assessed risk level, the following may be used:
Reviewing financial and programmatic reports
Following up on corrective actions from prior audits
Conducting on-site visits or desk reviews
Agreeing to agreed-upon procedures engagements
Subrecipients are typically categorized as green (low risk), yellow (medium risk), or red (high risk). Higher-risk subrecipients may warrant additional terms and conditions due to past performance issues, inefficient internal controls, or regulatory or compliance weaknesses. Harvard
5. Single Audit Reliance (§ 200.332(e))
If a subrecipient has a current Single Audit report and has not been excluded from receiving Federal funding, the PTE may rely on the subrecipient's cognizant agency for audit to perform audit follow-up on cross-cutting findings. However, this reliance does not eliminate the PTE's responsibility to issue subawards that conform to agency and award-specific requirements, to manage risk through ongoing subaward monitoring, and to monitor the status of findings specifically related to the subaward. eCFR
6. Written Policies Required
Pass-through entities must have written subrecipient monitoring policies and procedures, and ensure that subrecipients track, appropriately use, and report any program income generated by the subaward. Monitoring occurs throughout the lifecycle of the subaward. National Endowment for the Humanities
Quick Reference Summary
RequirementCFR CitationTimingSAM.gov debarment check§ 200.332(a) / § 180.300Pre-awardRisk assessment (fraud &amp; noncompliance)§ 200.332(c)Pre-awardSpecific subaward conditions§ 200.332(d) / § 200.208Pre-award / ongoingFinancial &amp; performance report review§ 200.332(e)Post-awardSingle Audit verification ($750K threshold)§ 200.332(e) / Subpart FAnnualOn-site visits / desk reviews§ 200.332(f)Risk-basedWritten monitoring policies§ 200.332 generallyInstitutional
Important caveat: Regulations change, and agency-specific requirements (e.g., NIH's NOT-OD-23-182 for foreign subrecipients) may impose additional obligations beyond the base Uniform Guidance. Always verify current regulatory text at ecfr.gov and consult your institution's sponsored programs or compliance office for interpretive guidance.</t>
  </si>
  <si>
    <t>Reading the eCFR research admin skill
Reading the eCFR research admin skill
Now let me fetch the relevant regulatory text on records retention requirements from 2 CFR 200.
Searched the web
Searched the web
Here is a comprehensive overview of post-closeout record retention requirements under the Uniform Guidance (2 CFR § 200.334):
Record Retention After Award Closeout
What Must Be Retained
Records to be retained include, but are not limited to, financial records, supporting documentation, and statistical records. 
eCFR
 More specifically, this encompasses source documents supporting accounting transactions, the general ledger, subsidiary ledgers, personnel and payroll records, cancelled checks, copies of all award documents, applications, and required financial and narrative reports.
The Standard Retention Period: 3 Years
Recipients and subrecipients must retain all Federal award records for three years from the date of submission of their final financial report. 
eCFR
For awards renewed on a rolling basis: for awards that are renewed quarterly or annually, recipients and subrecipients must retain records for three years from the date of submission of their quarterly or annual financial report, respectively. 
eCFR
Exceptions That Extend (or Modify) the Retention Period
Federal agencies generally cannot impose retention requirements beyond three years, but 2 CFR § 200.334 provides these specific exceptions:
(a) Litigation, claims, or audits If any litigation, claim, or audit is started before the expiration of the 3-year period, the records must be retained until all litigation, claims, or audit findings involving the records have been resolved and final action taken. 
Electronic Code of Federal Regulations
(b) Written notification to extend When the non-Federal entity is notified in writing by the Federal awarding agency, cognizant agency for audit, oversight agency for audit, cognizant agency for indirect costs, or pass-through entity to extend the retention period. 
Electronic Code of Federal Regulations
(c) Real property and equipment Records for real property and equipment acquired with Federal funds must be retained for 3 years after final disposition. 
Electronic Code of Federal Regulations
 Note that this clock starts at disposition, not closeout — which can be much later.
(d) Records transferred to the Federal agency When records are transferred to or maintained by the Federal awarding agency or pass-through entity, the 3-year retention requirement is not applicable to the non-Federal entity. 
Electronic Code of Federal Regulations
(e) Program income earned after the period of performance The records for program income earned after the period of performance must be retained for three years from the end of the recipient's or subrecipient's fiscal year in which the program income is earned — but only if the Federal agency or pass-through entity requires reporting on such income in the award terms and conditions. 
eCFR
(f) Indirect cost rate proposals and cost allocation plans If the proposal, plan, or computation is required to be submitted for negotiation, the 3-year retention period for its supporting records starts from the date of such submission. If it is not required to be submitted for negotiation, the 3-year period starts from the end of the fiscal year (or other accounting period) covered by the proposal, plan, or computation. 
Electronic Code of Federal Regulations
Key Practical Notes
Some programs impose longer periods. For example, certain federal awards can require longer retention — SLFRF (State and Local Fiscal Recovery Funds) records must be maintained for 5 years after all funds have been expended or returned to Treasury. 
Department of Local Government
 Always check your specific award terms.
Electronic records are acceptable. Recipients may substitute electronic versions of original paper records through duplication or other electronic conversion, provided those procedures are subject to periodic quality control review.
Right of access extends beyond the retention period. Federal agencies, the Office of Inspector General, and the Comptroller General retain the right to access records for as long as they are maintained — not just during the required retention window.
Quick Reference Summary
Record Type	Retention Period Starts From
General award records	Date of final financial report submission
Quarterly/annual renewed awards	Date of final quarterly/annual report
Real property &amp; equipment	3 years after final disposition
Program income (post-performance)	End of fiscal year income was earned
Indirect cost proposals (submitted)	Date of submission for negotiation
Indirect cost proposals (not submitted)	End of fiscal year covered
Audit/litigation records	Until resolution + final action taken
Important caveat: I'm not a legal advisor. Your institution's sponsored programs or compliance office should verify these requirements and check whether your specific awarding agency or award terms impose stricter conditions. Agency-specific guidance (e.g., NIH Grants Policy Statement) may supplement what appears in the CFR.</t>
  </si>
  <si>
    <t>Here's a comprehensive breakdown of what the 2024 Uniform Guidance revisions (effective October 1, 2024) changed for equipment capitalization and procurement. All references are grounded in the current text of 2 CFR Part 200.
Equipment Capitalization Threshold — 2 CFR § 200.313 &amp; § 200.1
The headline change: The threshold for defining equipment and other capital expenditures was raised from $5,000 to $10,000. US EPA
In practice, any tangible personal property with a useful life of more than one year and an acquisition cost below $10,000 is now treated as a supply rather than equipment — meaning it doesn't trigger property management, physical inventory, or disposition requirements.
Ripple effect on supplies: Adjusting an entity's capitalization threshold for equipment also affects how it defines supplies, because the definition of supplies in 2 CFR § 200.1 cross-references the definition of equipment. CPA Journal
Unused supplies threshold: Per 2 CFR § 200.314, the threshold for remitting unused supplies was also increased from $5,000 to $10,000, and the revision clarifies that the requirements apply to the aggregate value of all supply types. U.S. Election Assistance Commission
Ongoing property management obligations remain: Organizations must continue to comply with OMB's property management requirements, including conducting physical inventory at least once every two years, maintaining detailed property records, and ensuring equipment is safeguarded against loss or misuse. Disposition regulations also remain in effect. CPA Journal
Procurement Method Changes — 2 CFR §§ 200.317–200.320
Terminology and structure: The term "small purchases" was changed to "simplified acquisitions," and micro-purchases and simplified acquisitions are now explicitly clarified as types of "informal procurement methods." Baker Tilly This aligns UG terminology with standard FAR usage.
Flexibility in informal procurement: For simplified acquisitions, the revised § 200.320(a)(2)(i) now provides that "the recipient or subrecipient may exercise judgment in determining what number [of rate quotations] is adequate" to meet competition requirements Baker Tilly — a welcome relaxation from the prior more prescriptive approach.
Three-category procurement structure: The three types of procurement are now clarified as: informal procurement methods (for micro-purchases and simplified acquisitions); formal procurement methods (through sealed bids or proposals); and noncompetitive procurement methods. US EPA
Small/disadvantaged businesses: The prior "affirmative steps must be taken" language was softened to "when possible, the recipient or subrecipient should ensure" when utilizing small, minority, women's, veteran-owned businesses, and labor surplus area firms — and veteran-owned businesses were added to the list for the first time (§ 200.321). CLA Connect
Geographic preference: Restrictions related to geographic preference were removed, and scoring mechanisms to evaluate bidders committing to U.S. jobs and certain compensation and benefits are now permitted (§ 200.319). CLA Connect
Indian Tribes: In recognition of Tribal sovereignty, Indian Tribes may now be treated the same as States, allowing them to follow their own procurement policies rather than §§ 200.318–200.327, with noted exceptions requiring compliance with §§ 200.321, 200.322, 200.323, and 200.327. Baker Tilly
Other Key Threshold Changes (Context)
ThresholdOldNewEquipment capitalization$5,000$10,000Unused supplies remittance$5,000$10,000MTDC subaward cap$25,000$50,000Fixed amount subawards$250,000$500,000Single audit$750,000$1,000,000De minimis indirect rateup to 10%up to 15%
Important Transition Caveats
The revised guidance is effective for awards issued on or after October 1, 2024. Organizations now navigate a dual compliance environment — managing existing awards under the prior guidance while ensuring new awards comply with the revised standards. CPA Journal
OMB granted an exception allowing all recipients and subrecipients to use the revised equipment threshold of $10,000 even for awards operating under previous guidance, if permitted by the federal awarding agency. CLA Connect
Institutional policy matters: As the USC example illustrates, even though the regulatory limit increased to $10,000, the decision to capitalize at a lower threshold remains at the institution's discretion — and some organizations may maintain lower thresholds via their negotiated rate agreement until it is renegotiated. Usc Always check your institution's capitalization policy and your negotiated indirect cost rate agreement before assuming the new federal threshold applies to all your awards.
If you'd like, I can look up the exact current regulatory text of any specific section (e.g., § 200.313 or § 200.320) directly from the eCFR for the authoritative language.</t>
  </si>
  <si>
    <t>Prior Approval for Unbudgeted Equipment on Federal Awards
The governing authority is 2 CFR § 200.439 (Equipment and Other Capital Expenditures), which works in tandem with the general prior approval framework at 2 CFR § 200.407.
The Core Rule
Under 2 CFR § 200.439(b), the following allowability rules apply to equipment purchased as direct costs on a federal award:
General Purpose Equipment (GPE) — e.g., computers, vehicles, general-use lab instruments — always requires prior written approval from the federal agency or pass-through entity, regardless of cost.
Special Purpose Equipment (SPE) — equipment used only for research, medical, scientific, or other technical activities — requires prior written approval when the unit cost is $10,000 or more.
Capital improvements to existing land, buildings, or equipment that materially increase their value or useful life also require prior written approval. eCFR
Important note on the $10,000 threshold: This reflects the 2024 revision to the Uniform Guidance (effective October 1, 2024). Some institutions, like the University of Washington, have not yet implemented the higher threshold and continue to apply the previous $5,000 threshold. University of Washington PIs and administrators should check their institution's current capitalization policy.
What Counts as "Prior Approval"?
Specific inclusion of equipment in an approved proposal is generally considered prior written approval, if the proposal is fully funded. University of Washington The problem arises when equipment was not in the original budget — that's when a formal approval request is needed.
Per 2 CFR § 200.407, prior written approval should include the timeframe or scope of the agreement. The absence of prior written approval will not, in itself, affect the reasonableness or allocability of the cost unless prior approval is specifically required for allowability Electronic Code of Federal Regulations — and for equipment, it often is.
What Documentation to Submit
While the CFR specifies that prior approval is required, it does not prescribe a universal form. In practice, a prior approval request package typically includes:
Written justification explaining why the equipment is necessary to accomplish project objectives and why it wasn't in the original budget
Cost documentation — purchase requisitions, vendor quotes, price comparisons demonstrating reasonableness
Description of the equipment — specifications, purpose, and how it will be used exclusively (or primarily) on the federal award
Certification of allowability, allocability, and reasonableness under the Uniform Guidance
PI and authorized organizational representative (AOR) signatures
For example, Colorado's Department of Education requires documentation that describes how the equipment benefits program objectives, details supporting reasonableness, allowability, and allocability, and includes supporting specifications and cost documentation such as purchase requisitions and quotes. Colorado Department of Education
Who to Send It To
This part is tricky — the grant regulations don't specify exactly who at the funding agency to contact. Even though PIs typically interact with the Federal Program Officer (PO), prior approval requests for most cost items must be routed through the Grants Management Officer (GMO) at the federal agency, not the Program Officer. Myfedtrainer
For pass-through awards (subawards), the request goes to the pass-through entity's sponsored programs office, which may then escalate to the federal agency.
Agency-Specific Variations
Agencies may impose additional requirements beyond the Uniform Guidance baseline. NSF's Prior Approval Matrix (updated October 1, 2024) confirms that prior approval is required for capital expenditures for improvements to land, buildings, or equipment that materially increase their value, per 2 CFR § 200.439(b)(3). NSF NIH has its own prior approval requirements detailed in the NIH Grants Policy Statement.
Practical tip: Always route unbudgeted equipment requests through your institution's Sponsored Programs/Research Office before contacting the agency — they will know the sponsor's preferred submission process, required forms, and whether a budget revision is also needed. Purchasing equipment without prior approval can result in cost disallowance and audit findings.</t>
  </si>
  <si>
    <t>USDA in the CFR: Grant &amp; Contracting Policy Sections
Title 2 – Grants and Agreements (USDA-Specific Chapter IV)
This is the primary home for USDA's grant administration rules. Several parts in 2 CFR Chapter IV are specific to USDA:
2 CFR Part 400 – USDA's adoption of OMB's Uniform Guidance (2 CFR Part 200), covering uniform administrative requirements, cost principles, and audit requirements for federal awards. USDA adopted subparts A through F of 2 CFR Part 200, as supplemented by 2 CFR Part 400, as its agency-wide policies for federal financial assistance. eCFR
2 CFR Part 415 – Administrative standards for discretionary grants and cooperative agreements. This part governs USDA awarding agencies' competitive award processes, including requirements that all funding opportunities be published on Grants.gov and that all eligible applications receive fair and impartial review evaluated only on stated criteria. eCFR
2 CFR Part 416 – General program administrative regulations for grants and cooperative agreements to state and local governments. This part includes procurement integrity rules — for example, a prospective contractor that drafts specifications or statements of work for a State procurement under USDA entitlement programs is excluded from competing for that procurement to ensure objective contractor performance and eliminate unfair competitive advantage. eCFR
2 CFR Part 417 – USDA's adoption of government-wide Nonprocurement Debarment and Suspension rules (implementing 2 CFR Part 180 and Executive Orders 12549/12689).
2 CFR Part 418 – New Restrictions on Lobbying, prohibiting the use of appropriated funds to influence Congress or a federal agency in connection with the making of any federal grant and other federal contracting and financial transactions. eCFR
2 CFR Part 421 – Government-wide Requirements for Drug-Free Workplace (Financial Assistance), implementing the Drug-Free Workplace Act of 1988, as adopted by USDA through this part. eCFR
Title 7 – Agriculture (USDA Program-Specific Grant Parts)
Title 7 contains USDA's individual program grant regulations. Key parts include:
7 CFR Part 1783 – Revolving Funds for Financing Water and Wastewater Projects. This program is subject to the general provisions that apply to all grants made by USDA set forth in 2 CFR Part 200, as adopted through 2 CFR Part 400, and incorporates debarment, lobbying restrictions, and drug-free workplace requirements. eCFR
7 CFR Part 1784 – Rural Alaskan Village Grants. Contracting and procurement activities under this part follow Uniform Administrative Requirements, Cost Principles, and Audit Requirements for Federal Awards (2 CFR Part 200), and contracts for procurement must contain applicable provisions listed in Appendix II to 2 CFR Part 200. eCFR
7 CFR Part 4284 – Grants programs including the Rural Cooperative Development Grant (RCDG) Program. Recipients must comply with conflict-of-interest disclosure requirements under 2 CFR 400.2(b), and grant activities are governed by 2 CFR Part 200 and 7 CFR Part 11. eCFR
7 CFR Part 1485, Subpart B – Market Access Program. The MAP program is subject to 2 CFR Part 200 (as supplemented by 2 CFR Part 400 and the subpart), and other regulations generally applicable to USDA grants and cooperative agreements in 2 CFR chapters I, II, and IV also apply to the extent they do not conflict. eCFR
Key Cross-Cutting Compliance Framework
Nearly all USDA grant programs reference the same compliance stack:
Regulatory AreaCFR CitationUniform Guidance (cost, audit, procurement)2 CFR Part 200 (adopted via 2 CFR Part 400)Discretionary grant standards2 CFR Part 415State/local procurement integrity2 CFR Part 416Debarment &amp; suspension2 CFR Part 417 (adopting 2 CFR Part 180)Lobbying restrictions2 CFR Part 418Drug-free workplace2 CFR Part 421 (adopting 2 CFR Part 182)Program-specific grants7 CFR Parts 1780–1785, 4280–4290, etc.
Would you like me to pull the actual regulatory text for any of these specific sections, or dig into a particular USDA program area (e.g., Rural Development, NIFA research grants, foreign market development)?</t>
  </si>
  <si>
    <t>Federal Indirect Cost Rate Changes: 2025–2026
The Push for 15% Caps (Early–Mid 2025)
Starting in early 2025, multiple federal agencies attempted to dramatically reduce indirect cost reimbursements for research institutions:
On February 7, 2025, NIH imposed a 15% cap on indirect cost (IDC) recovery for all new NIH grants and, controversially, for existing grants awarded to institutions of higher education — a substantial reduction from the negotiated rates many institutions currently receive, which often range from 50% to 60% of direct research costs. BDO
DOE announced a 15% cap on future awards in April 2025, and NSF announced a similar standard 15% rate effective May 5, 2025. On May 14, 2025, the Secretary of Defense issued a memorandum capping DoD indirect costs for IHEs at 15% as well. Congress.gov
Courts Block the Caps
Throughout the late spring and summer of 2025, states and associations representing institutions of higher education (IHEs) brought actions in federal court, successfully challenging the proposed rate caps. In each case, the plaintiffs succeeded in either permanently enjoining or vacating the rate cap policies. Venable LLP
Congress Restores Negotiated Rates (Late 2025–Early 2026)
Congress stepped in decisively through appropriations legislation:
Recent federal appropriations laws — including H.R. 6938 (the Commerce, Justice, Science; Energy and Water Development; and Interior and Environment Appropriations Act, 2026) and H.R. 7148 (the Consolidated Appropriations Act, 2026) — reaffirm the expectation that federal agencies continue to follow existing Uniform Guidance requirements regarding the acceptance and application of negotiated indirect cost rates. Both laws also prohibit the agencies from using appropriated funds to modify, develop, or implement changes to negotiated rates. Cherry Bekaert
On January 27, 2026, DOE issued Policy Flash PF-2026-30, announcing that all prior policy flashes limiting indirect cost recovery — including the 15% and 10% ceilings — are no longer in effect. Negotiated Indirect Cost Rate Agreements (NICRAs) and Uniform Guidance rules now govern again for DOE financial assistance. Cherry Bekaert
Where Things Stand Now
As of January 2026, indirect cost reimbursements for IHEs are typically determined by an indirect cost rate pre-negotiated with the federal government, varying by institution and ranging from 30% to 70%. Congress.gov
However, the debate isn't fully resolved. The FY26 NDAA signals that Congress does want to see indirect rates below 2025 levels in the future, and that significant changes in accounting practices may be coming. Venable LLP Additionally, a new alternative model — the Financial Accountability in Research (FAIR) model — was developed by a coalition of university associations as an alternative to arbitrary 15% caps, aiming to improve transparency and accountability in how indirect costs are reimbursed. Association of American Universities Congress has acknowledged this model merits further consideration.
Bottom line: The aggressive 15% cap push of 2025 was largely defeated through litigation and congressional action, and negotiated rates are restored for now — but pressure to reform the indirect cost system is ongoing.</t>
  </si>
  <si>
    <t>Very news based response</t>
  </si>
  <si>
    <t>Now let me follow the workflow — first searching for prior approval provisions, then getting version history to find valid amendment dates for comparison.Searched the webSearched the webNow let me search specifically for the 2025 revision to see if there's a separate 2025 update distinct from the 2024 final rule:Searched the webSearched the webI now have a comprehensive picture. Let me clarify the key framing issue: there is no separate "2025 revision" to the Uniform Guidance. The significant revision was proposed in October 2023 and finalized in April 2024, with an effective date of October 1, 2024. What some sources call the "2025" context refers to agency-level adoption timelines (e.g., HHS adopted the full guidance effective October 1, 2025). Here is a thorough analysis:
Prior Approval Changes: 2023 Proposed vs. 2024 Final Uniform Guidance
A quick framing note: there is no separate "2025 revision" to 2 CFR Part 200. The regulatory history runs as follows — OMB issued a Notification of Proposed Guidance in the Federal Register on October 5, 2023, proposing revisions to 2 CFR Part 200. The final rule was published April 22, 2024, and became effective for awards made on or after October 1, 2024. ICF What some practitioners label "2025" refers to agency adoption timelines: HHS adopted the full 2 CFR Part 200, rescinded 45 CFR Part 75, and retained 12 HHS-specific provisions at 2 CFR Part 300, effective October 1, 2025. Health Resources and Services Administration The prior approval policy changes described below reflect differences between what was proposed in October 2023 and what landed in the April 2024 final rule (effective October 2024).
1. Removal of Prior Written Approval Requirements at § 200.407
This is the centerpiece change. The 2023 proposed rule and the 2024 final rule both aimed to remove items from the prior written approval list, but the count differed slightly.
2023 Proposed Rule: In § 200.407, OMB proposed removing ten items from the prior written approval requirements to reduce Federal agency and recipient burden. Baker Tilly
2024 Final Rule: The final rule ultimately removed nine categories from the list referencing prior written approval requirements in § 200.407. ICFBaker Tilly One item from the original ten proposed was not carried through to the final rule.
Specific items removed from § 200.407 in the final rule include:
OMB revised the list of prior approval requirements in § 200.407 to remove reference to the real property and equipment provisions in §§ 200.311 and 200.313. Institute of Museum and Library Services Note, however, that § 200.439 — which is specifically referenced in § 200.313 — continues to describe circumstances in which prior written approval is required for allowability of equipment and other capital expenditures. Institute of Museum and Library Services
Prior written approval was removed for participant support costs under § 200.456. Recipients no longer need to obtain prior approval to charge participant support costs as direct costs, though the classification of items as participant support costs must be documented in the recipient's written policies and procedures. US EPAU.S. Department of Education
Removal of prior approval references tied to § 200.201 (fixed amount awards), § 200.413(c) (administrative and clerical staff salaries), and § 200.454(c) (civic and community organization memberships).
2. New Formal Definition of "Prior Approval"
The 2023 proposal and the 2024 final rule both introduced something entirely new: a new addition to Definitions — "Prior approval" means the written approval obtained in advance by an authorized official of a Federal agency or pass-through entity of certain costs or programmatic decisions. Institute of Museum and Library Services This codified what had previously been understood only by practice and cross-referencing.
3. Prior Approval for Subrecipient Changes
The 2023 proposed rule included a significant relaxation for subaward management. Prior approval is not needed when switching subrecipients unless explicitly required in the award, and prior approval is not needed for procurement of goods and services. Nebraska Department of Economic Development This was carried into the final rule, meaningfully reducing administrative burden for pass-through entities managing multiple subrecipients.
4. Prior Approval for Research Grants: Expanded Authorities Clarified
The 2023 proposed rule signaled a clarification that the 2024 final rule adopted: OMB clarified prior approval expanded authorities for research grants irrespective of the granting agency. EisnerAmper Previously, expanded authorities (such as no-cost extensions and rebudgeting flexibility without agency approval) were inconsistently applied depending on which federal agency issued the award. The final rule harmonized these across agencies for research grants.
5. Prior Approval for Program Income Methods
A nuanced change affected how program income methods are treated. OMB clarified § 200.307(b) to include the prior approval requirement for using the addition or cost sharing methods of applying program income, if those are not the specified method(s) in the terms and conditions of the award. Institute of Museum and Library Services This was a clarification rather than a removal — it made explicit a prior approval trigger that had previously been ambiguous.
6. Fixed Amount Subawards: Prior Approval Retained
One area where both the 2023 proposal and 2024 final rule declined to eliminate prior approval was fixed amount subawards. Fixed price subawards are still restricted without sponsor prior approval. The updated Uniform Guidance added back the requirement that fixed price subawards cannot be used if there is cost share, and included a requirement that at the end of the fixed amount award, certification must be provided in writing that the project was completed or the level of effort was expended. Usc
Practical Bottom Line
The 2024 final rule (effective October 1, 2024) delivered most — but not all — of what the October 2023 proposal sought. The net effect on prior approvals is a meaningful reduction in administrative burden: nine cost categories removed from § 200.407's required approval list, no prior approval needed to switch subrecipients, no approval needed for procuring goods and services, participant support costs unchained from pre-approval, and expanded authorities for research grants harmonized across agencies. The one item that dropped out between the 2023 proposal (ten removals) and the 2024 final (nine removals) was not publicly identified with specificity in the preamble, so institutions should review the Federal Register (89 FR 30136, April 22, 2024) for the complete comparative table.
Compliance note: If your institution receives HHS/NIH funding, the full 2 CFR Part 200 adoption by HHS took effect October 1, 2025, replacing 45 CFR Part 75. Prior approval procedures embedded in your NIH grants administration policies should now align directly with 2 CFR § 200.407 rather than the old HHS-specific regulations. Verify your institutional policies reflect this transition.</t>
  </si>
  <si>
    <t>Are subscriptions an allowable cost on a federal contract?</t>
  </si>
  <si>
    <t>Yes, subscriptions are generally an allowable cost on a federal contract, with some important nuance depending on the type of subscription and the governing framework.
The Governing Regulation: 2 CFR § 200.454
The Uniform Guidance addresses this directly under the section titled Memberships, subscriptions, and professional activity costs. Per the current eCFR:
Costs of the recipient's or subrecipient's subscriptions to business, professional, and technical periodicals are allowable. eCFR
So journal subscriptions, trade publications, technical databases, and similar resources connected to the work are expressly permitted.
What's NOT Allowable (Same Section)
Costs of membership in any country club or social or dining club or organization are unallowable, and costs of membership in organizations whose primary purpose is lobbying are unallowable. eCFR
Important Caveat: Federal Contracts vs. Grants
Your question asks specifically about contracts. There's a key distinction to keep in mind:
A Federal contract awarded to a recipient is subject to the Cost Accounting Standards (CAS). It must incorporate the applicable CAS requirements per 48 CFR Chapter 99 and 48 CFR Part 30 (FAR Part 30). With respect to the allocation of costs, the Cost Accounting Standards take precedence over the cost principles in Subpart E. eCFR
For contracts subject to the FAR (Federal Acquisition Regulation, 48 CFR Part 31), the analogous provision is FAR 31.205-33, which similarly allows costs of subscriptions to business, professional, and technical periodicals. The principle is consistent, but the specific citation for a procurement contract is FAR 31.205-33, not 2 CFR § 200.454.
The General Allowability Test
Regardless of the specific section, costs must meet criteria including being necessary and reasonable for performance of the Federal award, conforming to any limitations in the award, and being consistently treated in accordance with the recipient's policies. eCFR
Bottom Line
Subscription TypeAllowable?Business, professional, or technical periodicals/databases✅ YesTrade journals related to the work✅ YesSocial or dining club memberships❌ NoLobbying organization memberships❌ No
Practical tip: Even for allowable subscriptions, you should be prepared to show the cost is necessary and allocable to the specific contract. A subscription benefiting multiple contracts or the organization broadly may need to flow through your indirect cost pool rather than be charged as a direct cost. Check your Cost Accounting Standards (CAS) disclosure statement and your agency's specific contract terms, as they may impose additional restrictions.
As always, consult your contracts/legal office for final determinations on specific situations.</t>
  </si>
  <si>
    <t>Cited the eCFR website and included FAR language. Missed the civis memberships.</t>
  </si>
  <si>
    <t>Missed the FAR</t>
  </si>
  <si>
    <t>The question asks about subscriptions as an allowable cost. This is a cost principles question under the Uniform Guidance (2 CFR 200). Let me search for the relevant section and fetch the text.Used ecfr_test integration, loaded toolsUsed ecfr_test integration, loaded toolsThe relevant section is 2 CFR § 200.454 — Memberships, subscriptions, and professional activity costs. Let me get the valid date and fetch it.Used ecfr_test integrationUsed ecfr_test integrationGreat — here's a clear, regulation-grounded answer.
Subscriptions as an Allowable Cost Under Federal Awards
Yes, subscriptions are generally allowable under the Uniform Guidance. As of October 1, 2024, 2 CFR § 200.454 — Memberships, subscriptions, and professional activity costs — states directly:
(b) Costs of the recipient's or subrecipient's subscriptions to business, professional, and technical periodicals are allowable.
So a subscription to a journal, database, or trade publication directly related to the work of a federal award is an allowable cost.
The Full Picture from 2 CFR § 200.454
The same section covers related cost types with a clear allowable/unallowable split:
Cost TypeAllowable?Memberships in business, technical, or professional organizations✅ YesSubscriptions to business, professional, or technical periodicals✅ YesMemberships in civic or community organizations✅ YesMemberships in country clubs, social clubs, or dining clubs❌ NoMemberships in organizations whose primary purpose is lobbying❌ No (see § 200.450)
Practical Caveats
Even though subscriptions are allowable in principle, they still must meet the general cost principles at 2 CFR § 200.405–200.411 to be charged to an award. That means the cost must be:
Necessary and reasonable for the performance of the award
Allocable to the award (i.e., it benefits the project)
Consistently treated per your institution's cost accounting practices
A subscription to a journal closely tied to your research area is easy to justify. A broad institutional database license charged entirely to one grant would require a careful allocation analysis. When in doubt, consult your sponsored programs or compliance office, as institutional policies may be stricter than the federal floor.</t>
  </si>
  <si>
    <t>Many external links that are not government affiliated. Includes the broad reasons on why policy occurred and program income.</t>
  </si>
  <si>
    <t>Better usage of the tools with the exact policy citations. Misses HHS (which includes the NIH) had a different timeline, adopting the changes effective October 1, 2025</t>
  </si>
  <si>
    <t>Web Search not enabled for MCP</t>
  </si>
  <si>
    <t>Good, now let me get the version history for 2 CFR Part 200 to identify the 2023 and 2025 amendment dates, then compare the prior approval sections.Loaded tools, used ecfr_test integrationLoaded tools, used ecfr_test integrationThe version history shows a latest_amendment_date of 2024-10-01 and latest_issue_date of 2025-05-08. Now let me get the versions specifically around the prior approval sections to find the relevant amendment dates. The key prior approval section in the Uniform Guidance is § 200.407. Let me get versions for that section and compare.Ecfr get title versionsEcfr get title versionsThe versions show amendments at 2020-11-12 and 2024-10-01. The 2024-10-01 version is the "2025 revision" (effective October 1, 2024). The question asks about "2023 vs 2025" revisions — the 2020 version was the pre-2024 text (in force during 2023), and the 2024-10-01 amendment is the current version. Let me compare them, and also check related sections.Ecfr compare regulationsEcfr compare regulationsExcellent — this is very rich data. Now let me also check § 200.308 (budget revisions requiring prior approval) since that's the other major prior approval provision, and see what changed there too.Used ecfr_test integrationUsed ecfr_test integrationI now have comprehensive data on both key prior approval sections. Here's a thorough analysis based on the actual regulatory text:
Prior Approval Changes: 2 CFR Part 200 — Pre-2024 vs. October 2024 Revision
A note on framing: the Uniform Guidance was last substantively amended on October 1, 2024 (effective date). The version in force throughout 2023 was the November 12, 2020 amendment. There is no separate "2023 revision" — the current version is often called the "2024 revision" in the field, not "2025." The comparison below is between those two versions.
§ 200.407 — Prior Written Approval (Prior Approval): The Master List
This is the central section listing which cost categories require prior approval. The changes here are significant.
Items removed from the required prior approval list (as of 2024-10-01):
The 2024 revision stripped out nine items that previously required prior approval for allowability. These are no longer on the mandatory list:
§ 200.201(b)(5) — use of grant agreements/fixed amount awards (paragraph reference removed)
§ 200.311 — Real property
§ 200.313 — Equipment (the old standalone equipment section)
§ 200.413(c) — Direct costs (paragraph reference removed)
§ 200.438 — Entertainment costs
§ 200.454(c) — Memberships, subscriptions, and professional activity costs
§ 200.456 — Participant support costs
§ 200.467 — Selling and marketing costs
§ 200.470 — Taxes (including Value Added Tax)
This is a meaningful reduction in the administrative burden on recipients — fewer cost categories require seeking approval before incurring costs.
Language changes in the introductory paragraph:
The 2020 text said the "non-Federal entity may seek the prior written approval of the cognizant agency for indirect costs or the Federal awarding agency in advance of the incurrence of special or unusual costs" and that "Prior written approval should include the timeframe or scope of the agreement."
The 2024 text drops both of those phrases. It now simply says the "recipient may seek the prior written approval of the Federal agency (or, for indirect costs, the cognizant agency for indirect costs) before incurring the cost." The requirement to document timeframe or scope in the approval itself is gone, as is the "special or unusual" qualifier — the trigger is now any cost where you seek advance certainty.
§ 200.308 — Revision of Budget and Program Plans: Structural Overhaul
This section was reorganized substantially. The policy changes affecting prior approvals include:
New item added to the mandatory prior approval list (§ 200.308(f)):
The 2024 version adds item (9) — "Transferring funds between the construction and non-construction work under a Federal award" — as a mandatory prior approval requirement. Previously, construction/non-construction fund transfers were addressed separately in old paragraph (h)(5) as something agencies may require, not as a universal requirement.
No-cost extensions (NCEs) now explicitly enumerated as requiring prior approval:
The 2024 version adds item (10) to the mandatory list: a no-cost extension, "other than any one-time extension authorized by the Federal agency." This makes explicit what was previously implicit — NCEs beyond the one-time automatic extension require affirmative prior approval. It also specifies that agencies "may approve multiple no-cost extensions" if not prohibited by statute.
Subaward prior approval narrowed:
Old paragraph (c)(6) required prior approval for "the subawarding, transferring or contracting out of any work under a Federal award." The 2024 version at paragraph (f)(6) narrows this considerably: it covers "subaward activities not proposed in the application and approved in the Federal award" and explicitly states that a change of subrecipient only requires prior approval if the Federal agency includes that requirement in the award terms — and even then, agencies "should not require prior approval of a change of subrecipient unless the inclusion was a determining factor in the merit review or eligibility process." This is a significant loosening for recipients managing subrecipient changes.
Key personnel definition expanded:
The 2020 text referred to "a key person specified in the application or the Federal award." The 2024 text expands this to "key personnel (including employees and contractors) that are identified by name or position in the Federal award." The explicit inclusion of contractors is new.
PI/PD disengagement threshold clarified:
The 2020 text referred to "a 25 percent reduction in time devoted to the project." The 2024 text changes this to "a 25 percent reduction in time and effort devoted to the Federal award over the course of the period of performance." The addition of "and effort" and "over the course of the period of performance" provides more context for how to measure the threshold.
Budget revision request format modernized:
The 2020 text (old paragraph (i)) required using "the same format for budget information that was used in the application, unless the Federal awarding agency indicates a letter of request suffices." The 2024 text (new paragraph (c)) now explicitly permits "electronic systems, email, or other agency-approved mechanisms" as alternative formats.
Research waiver moved and tightened:
The automatic waiver of prior approvals for research awards was embedded in paragraph (e)(4) in 2020 and is now its own paragraph (h) in 2024. The 2020 text said the waivers are "automatically waived (i.e., recipients need not obtain such prior approvals) unless one of the conditions included in paragraph (e)(2) applies" (i.e., the NCE exceptions). The 2024 version says waivers apply "unless stipulated in the Federal agency's regulations or terms and conditions of the Federal award" — which is broader and reinforces agency authority to override the research waiver through their own regulations, not just award terms.
Antideficiency Act notice added:
When approving additional Federal funds to complete a project under (f)(8), the 2024 text adds a new affirmative duty on the agency: "Before providing approval, the Federal agency must ensure that adequate funds are available to avoid a violation of the Antideficiency Act." This is new protective language absent from the 2020 version.
Practical Takeaways
The overall thrust of the 2024 revision is to reduce the number of required prior approvals (particularly in § 200.407) while clarifying and strengthening the process for the prior approvals that remain (particularly in § 200.308). For research administrators, the most operationally significant changes are the removal of several cost categories from the mandatory list, the narrowing of subrecipient change prior approval requirements, and the explicit treatment of no-cost extensions in the enumerated list.
As always, agency-specific regulations and award terms can impose requirements beyond these defaults, and your institution's sponsored programs office should be consulted for interpretation of any specific situation. The regulatory text cited here is from the eCFR as of 2024-10-01 (2 CFR §§ 200.308 and 200.407).</t>
  </si>
  <si>
    <t>Longer response</t>
  </si>
  <si>
    <t>Shorter and has the terminology shift.</t>
  </si>
  <si>
    <t>Now let me search for the prior approval provisions and get version history to compare the 2023 and 2025 versions.Used ecfr integration, loaded toolsUsed ecfr integration, loaded toolsLoading toolsResultEEcfr get title versionsResultEEcfr searchResultEEcfr searchResultDoneLet me get the specific prior approval section and compare the two amendment dates directly.Ecfr get title versionsEcfr get title versionsEEcfr get title versionsResultDoneThe two substantive amendment dates are 2020-11-12 (which is the pre-2024 version, reflecting the 2020 revision) and 2024-10-01 (the 2024 revision that took effect Oct 1, 2024). Now let me also check § 200.308 (prior approval for budget changes) and then run the comparison.Ecfr compare regulationsEcfr compare regulationsNow let me also compare § 200.308 (budget revisions and prior approval) between the same dates:Ecfr compare regulationsEcfr compare regulationsEEcfr compare regulationsResultDoneI now have all the data needed for a thorough, grounded comparison. Let me put this together.
This is a rich comparison. Here is a detailed breakdown of the policy differences in prior approval requirements between the pre-October 2024 version of 2 CFR Part 200 (reflecting the 2020 revision) and the current version effective October 1, 2024 (the "2024 revision," sometimes informally called the 2025 revision because of its phased compliance dates).
Prior Approval Changes: 2 CFR Part 200 (2020 version → Oct. 1, 2024 version)
1. § 200.407 — Prior Written Approval (Prior Approval): Shorter Trigger List
The core prior-approval menu at § 200.407 was significantly trimmed. As of the 2024 revision, the following items no longer appear on the cross-referenced list of cost categories requiring prior approval:
Removed ItemOld CitationUse of fixed amount awards (specific paragraph)§ 200.201(b)(5)Real property§ 200.311Equipment (general)§ 200.313Direct costs (administrative cost paragraph)§ 200.413(c)Entertainment costs§ 200.438Memberships/professional activity costs (specific paragraph)§ 200.454(c)Participant support costs§ 200.456Selling and marketing costs§ 200.467Taxes (including VAT)§ 200.470
Nine items were dropped from the list. The new version retains only 16 cross-references, down from 25. This is a meaningful reduction in the number of cost categories where prior approval can be "specifically required for allowability."
Other textual changes in § 200.407:
"Non-Federal entity" was replaced with "recipient" — aligning with the 2024 revision's broader terminology shift.
The old version said approval could come from "the cognizant agency for indirect costs or the Federal awarding agency." The new version says "the Federal agency (or, for indirect costs, the cognizant agency for indirect costs)" — clarifying that the Federal agency is the primary approver, with the cognizant agency only stepping in for indirect cost questions.
The old version said prior written approval "should include the timeframe or scope of the agreement" — that language was dropped entirely. The 2024 revision no longer specifies what the approval document must contain.
2. § 200.308 — Revision of Budget and Program Plans: Structural Reorganization and Key Substantive Shifts
This is where the most significant changes occurred. The section was fully reorganized with labeled paragraph headings (a) through (i), and several substantive policy changes were made.
Items now explicitly required to obtain prior approval (new additions):
No-cost extensions beyond the one-time waiver — The 2024 revision adds an affirmative prior-approval requirement for multi-NCE requests (§ 200.308(f)(10)). The prior version addressed NCEs only in the waiver context.
Transfer of funds between construction and non-construction work — Now listed explicitly in the required prior-approval list at § 200.308(f)(9), elevated from what was a more buried construction-specific subparagraph.
Key personnel change — The 2024 version broadens the definition: "key personnel (including employees and contractors) that are identified by name or position in the Federal award." The prior version said only "a key person specified in the application or the Federal award" — the explicit inclusion of contractors is new.
Antideficiency Act language added — When a recipient needs additional Federal funds, the 2024 version adds an affirmative requirement that "the Federal agency must ensure that adequate funds are available to avoid a violation of the Antideficiency Act" before approving.
Items that became less burdensome (relaxed):
Subrecipient changes — The old version required prior approval for "the subawarding, transferring or contracting out of any work under a Federal award, including fixed amount subawards." The 2024 version narrows this significantly: a change of subrecipient now only requires prior approval "if the Federal agency or pass-through entity includes the requirement in the terms and conditions of the Federal award," and agencies are discouraged from imposing that requirement unless the subrecipient's identity was a factor in the merit review or eligibility process.
Cost-sharing changes — The old version required prior approval for "changes in the approved cost-sharing or matching." The 2024 version requires prior approval only for "changes in the total approved cost-sharing amount" — a narrower trigger that excludes internal reallocation of cost-share.
Budget revision request process — streamlined:
The old version required recipients to use "the same format for budget information that was used in the application, unless the Federal awarding agency indicates a letter of request suffices." The 2024 version flips the default: it authorizes "alternative formats" including "electronic systems, email, or other agency-approved mechanisms" as baseline options.
The agency review deadline changed slightly: the old version required agencies to notify recipients within "30 calendar days"; the 2024 version says "30 days" (dropping "calendar") and softens the obligation — the agency "should" notify, rather than "must" notify, by 30 days.
Research waiver — restructured:
The old version embedded research waivers inside paragraph (e) on optional agency waivers. The 2024 version elevates them to their own standalone paragraph (h), titled "Prior approvals for research awards," clarifying that waiver of the optional prior approvals in paragraph (g) is automatic for research awards unless the agency's regulations or award terms specifically require them.
Prohibition on extra prior approval requirements — strengthened:
The old version said "no other prior approval requirements for specific items may be imposed unless an exception has been approved by OMB." The 2024 version tightens this: "the Federal agency must not impose additional prior approval requirements without OMB approval" — replacing permissive language with a mandatory prohibition.
Summary Table
Policy AreaPre-2024 (2020 version)2024 revision (eff. Oct. 1, 2024)Number of § 200.407 cost-item triggers25 cross-references16 cross-referencesSubrecipient changesBroadly required prior approvalOnly if included in award terms; discouraged unless key to merit reviewCost-sharing prior approvalAny change to approved cost-sharingOnly changes to the total approved amountKey personnel"Key person in application or award"Adds "contractors" identified by name or positionConstruction/non-construction transfersBuried in construction subparagraphExplicitly listed in required prior approval listNo-cost extensionsAddressed only in waiver paragraphNCEs beyond one-time waiver explicitly require prior approvalBudget revision formatStandard application format or agency-approved letterStandard format or electronic/email alternativesAgency extra approvals prohibition"May not be imposed""Must not impose"Research prior approval waiverEmbedded in optional waiver paragraphStandalone paragraph; automatically waived unless agency specifies otherwise
A note on terminology: The 2024 revision is sometimes called the "2025 revision" in the field because many agencies established a compliance date of October 1, 2025 for existing awards. The regulatory text itself amended the eCFR effective October 1, 2024. Per 2 CFR § 200.407 and § 200.308, the dates above reflect the eCFR amendment dates. Always verify with your agency-specific award terms, as some agencies may have adopted these changes earlier or later.</t>
  </si>
  <si>
    <t>Longer response consistent with last</t>
  </si>
  <si>
    <t>X</t>
  </si>
  <si>
    <t>Used ecfr integration, viewed a file, loaded toolsUsed ecfr integration, viewed a file, loaded toolsReading the eCFR research admin skillLoading toolsResultEEcfr get title versionsRequest{
  "title": 2,
  "part": "200",
  "section": "200.1"
}Response{
  "content_versions": [
    {
      "date": "2024-10-01",
      "amendment_date": "2024-10-01",
      "issue_date": "2025-01-06",
      "identifier": "200.1",
      "name": "§ 200.1   Definitions.",
      "part": "200",
      "substantive": false,
      "removed": false,
      "subpart": "A",
      "title": "2",
      "type": "section"
    },
    {
      "date": "2024-10-01",
      "amendment_date": "2024-10-01",
      "issue_date": "2024-10-01",
      "identifier": "200.1",
      "name": "§ 200.1   Definitions.",
      "part": "200",
      "substantive": true,
      "removed": false,
      "subpart": "A",
      "title": "2",
      "type": "section"
    },
    {
      "date": "2021-02-22",
      "amendment_date": "2021-02-22",
      "issue_date": "2023-04-10",
      "identifier": "200.1",
      "name": "§ 200.1   Definitions.",
      "part": "200",
      "substantive": false,
      "removed": false,
      "subpart": "A",
      "title": "2",
      "type": "section"
    },
    {
      "date": "2021-02-22",
      "amendment_date": "2021-02-22",
      "issue_date": "2021-02-22",
      "identifier": "200.1",
      "name": "§ 200.1   Definitions.",
      "part": "200",
      "substantive": true,
      "removed": false,
      "subpart": "A",
      "title": "2",
      "type": "section"
    },
    {
      "date": "2020-11-12",
      "amendment_date": "2020-11-12",
      "issue_date": "2020-11-12",
      "identifier": "200.1",
      "name": "§ 200.1   Definitions.",
      "part": "200",
      "substantive": true,
      "removed": false,
      "subpart": "A",
      "title": "2",
      "type": "section"
    },
    {
      "date": "2020-08-13",
      "amendment_date": "2020-08-13",
      "issue_date": "2020-08-13",
      "identifier": "200.1",
      "name": "§ 200.1   Definitions.",
      "part": "200",
      "substantive": true,
      "removed": false,
      "subpart": "A",
      "title": "2",
      "type": "section"
    },
    {
      "date": "2016-11-28",
      "amendment_date": "2016-11-28",
      "issue_date": "2016-11-28",
      "identifier": "200.1",
      "name": "§ 200.1   Definitions.",
      "part": "200",
      "substantive": true,
      "removed": false,
      "subpart": "A",
      "title": "2",
      "type": "section"
    }
  ],
  "meta": {
    "title": "2",
    "part": "200",
    "section": "200.1",
    "result_count": "7",
    "latest_amendment_date": "2024-10-01",
    "latest_issue_date": "2025-01-06"
  },
  "citation": "2 CFR § 200.1",
  "title": 2,
  "part": "200",
  "section": "200.1",
  "date": null,
  "source_url": "https://www.ecfr.gov/current/title-2/section-200.1"
}EEcfr get regulationRequest{
  "title": 2,
  "date": "2024-10-01",
  "part": "200",
  "section": "200.1"
}Response{
  "text": "§ 200.1 Definitions.\n\n============================================================\n\nThe following is a list of definitions of key terms frequently used in 2 CFR part 200. Definitions found in Federal statutes or regulations that apply to particular programs take precedence over the following definitions. However, where the following definitions implement specific statutory requirements that apply government-wide, such as the Single Audit Act, the following definitions take precedence over Federal regulations. For purposes of this part, the following definitions apply:\n\nAcquisition cost means the (total) cost of the asset including the cost to ready the asset for its intended use. For example, acquisition cost for equipment means the net invoice price of the equipment, including the cost of any modifications, attachments, accessories, or auxiliary apparatus necessary to make it usable for the purpose for which it is acquired. Acquisition costs for software include those development costs capitalized in accordance with generally accepted accounting principles (GAAP). Ancillary charges such as taxes, duty, protective in transit insurance, freight, and installation may be included in or excluded from the acquisition cost in accordance with the recipient's or subrecipient's regular accounting practices.\n\nAdvance payment means a payment that a Federal agency or pass-through entity makes by any appropriate payment mechanism and payment method before the recipient or subrecipient disburses the funds for program purposes.\n\nAllocation means the process of assigning a cost, or a group of costs, to one or more cost objective(s), in reasonable proportion to the benefit provided or other equitable relationship. The process may entail assigning a cost(s) directly to a final cost objective or through one or more intermediate cost objectives.\n\nAssistance Listings refer to the publicly available listing of Federal assistance programs managed and administered by the General Services Administration (GSA) at SAM.gov.\n\nAssistance Listing number means a unique number assigned to identify an Assistance Listing.\n\nAssistance Listing program title means the title that corresponds to the Assistance Listing number.\n\nAudit finding means deficiencies which the auditor is required to report in the schedule of findings and questioned costs. (See § 200.516(a))\n\nAuditee means any non-Federal entity that must be audited under this part. (See § 200.501)\n\nAuditor means an auditor who is a public accountant or a Federal, State, local government, or Indian Tribe audit organization that meets the general standards specified for external auditors in generally accepted government auditing standards (GAGAS). The term auditor does not include internal auditors of nonprofit organizations.\n\nBudget means the financial plan for the Federal award that the Federal agency or pass-through entity approves during the Federal award process or in subsequent amendments to the Federal award. It may include the Federal and non-Federal share or only the Federal share, as determined by the Federal agency or pass-through entity.\n\nBudget period means the time interval from the start date of a funded portion of an award to the end date of that funded portion, during which recipients and subrecipients are authorized to incur financial obligations of the funds awarded, including any funds carried forward or other revisions pursuant to § 200.308.\n\nCapital assets means:\n\n(1) Tangible or intangible assets used in operations having a useful life of more than one year which are capitalized in accordance with GAAP. Capital assets include:\n\n(i) Land, buildings (facilities), equipment, and intellectual property (including software), whether acquired by purchase, construction, manufacture, exchange, or through a lease accounted for as financed purchase under Government Accounting Standards Board (GASB) standards or a finance lease under Financial Accounting Standards Board (FASB) standards; and\n\n(ii) Additions, improvements, modifications, replacements, rearrangements, reinstallations, renovations, or alterations to capital assets that materially increase their value or useful life (not ordinary repairs and maintenance).\n\n(2) For purpose of this part, capital assets do not include intangible right-to-use assets (per GASB) and right-to-use operating lease assets (per FASB). For example, assets capitalized that recognize a lessee's right to control the use of property or equipment for a period of time under a lease contract. See § 200.465.\n\nCapital expenditures means expenditures to acquire capital assets or expenditures to make additions, improvements, modifications, replacements, rearrangements, reinstallations, renovations, or alterations to capital assets that materially increase their value or useful life.\n\nCentral service cost allocation plan means the documentation identifying, accumulating, and allocating or developing billing rates based on the allowable costs of services provided by a State, local government, or Indian Tribe to its departments and agencies on a centralized basis. The costs of these services may be allocated or billed to users.\n\nClaim means, depending on the context, either:\n\n(1) A written demand or assertion by one of the parties to a Federal award seeking as a matter of right:\n\n(i) The payment of money;\n\n(ii) The adjustment or interpretation of the terms and conditions of the Federal award; or\n\n(iii) Other relief arising under or relating to a Federal award.\n\n(2) A request for payment not in dispute when submitted.\n\nClass of Federal awards means a group of Federal awards either awarded under a specific program or group of programs or to a specific type of recipient or group of recipients to which specific provisions or exceptions may apply.\n\nCloseout means the process by which the Federal agency or pass-through entity determines that all applicable administrative actions and all required work of the Federal award have been completed and takes actions as described in § 200.344.\n\nCluster of programs means a grouping of closely related programs that share common compliance requirements. The types of clusters of programs are research and development (R&amp;D), student financial aid (SFA), and other clusters. “Other clusters” are defined by OMB in the compliance supplement or designated by a State for Federal awards the State provides to its subrecipients that meet the definition of a cluster of programs. When designating “other clusters,” a State must identify the Federal awards included in the cluster and advise the subrecipients of compliance requirements applicable to the cluster, consistent with § 200.332. A cluster of programs must be considered one program when determining major programs as described in § 200.518, and with the exception of R&amp;D as described in § 200.501(d), whether a program-specific audit may be elected.\n\nCognizant agency for audit means the Federal agency designated to carry out the responsibilities described in § 200.513(a). The cognizant agency for audit is not necessarily the same as the cognizant agency for indirect costs. A list of Federal agency Single Audit contacts can be found on the Federal Audit Clearinghouse (FAC) website.\n\nCognizant agency for indirect costs means the Federal agency responsible for reviewing, negotiating and approving cost allocation plans or indirect cost proposals on behalf of all Federal agencies. The cognizant agency for indirect cost is not necessarily the same as the cognizant agency for audit. For assignments of cognizant agencies, see the following:\n\n(1) For Institutions of Higher Education (IHEs): Appendix III, paragraph C.11.\n\n(2) For nonprofit organizations: Appendix IV, paragraph C.2.a.\n\n(3) For State and local governments: Appendix V, paragraph F.1.\n\n(4) For Indian Tribes: Appendix VII, paragraph D.1.\n\nCompliance supplement means an annually updated authoritative source of information for auditors that identifies existing important compliance requirements that the Federal Government expects to be considered as part of an audit. Auditors use it to understand the Federal program's objectives, procedures, and compliance requirements, as well as audit objectives and suggested audit procedures for determining compliance with the relevant Federal program.\n\nComputing devices means machines that acquire, store, analyze, process, and publish data and other information electronically, including accessories (or “peripherals”) for printing, transmitting and receiving, or storing electronic information. See also the definitions of supplies and information technology systems in this section.\n\nContract means, for the purpose of Federal financial assistance, a legal instrument by which a recipient or subrecipient conducts procurement transactions under a Federal award. For additional information on subrecipient and contractor determinations, see § 200.331. See also the definition of subaward in this section.\n\nContractor means an entity that receives a contract.\n\nContinuation funding means the second or subsequent budget period within an identified period of performance.\n\nCooperative agreement means a legal instrument of financial assistance between a Federal agency and a recipient or between a pass-through entity and subrecipient, consistent with 31 U.S.C. 6302-6305:\n\n(1) Is used to enter into a relationship the principal purpose of which is to transfer anything of value to carry out a public purpose authorized by a law of the United States (see 31 U.S.C. 6101(3)); and not to acquire property or services for the Federal Government or pass-through entity's direct benefit or use;\n\n(2) Is distinguished from a grant in that it provides for substantial involvement of the Federal agency or pass-through entity in carrying out the activity contemplated by the Federal award.\n\n(3) The term does not include:\n\n(i) A cooperative research and development agreement as defined in 15 U.S.C. 3710a; or\n\n(ii) An agreement that provides only:\n\n(A) Direct United States Government cash assistance to an individual;\n\n(B) A subsidy;\n\n(C) A loan;\n\n(D) A loan guarantee; or\n\n(E) Insurance.\n\nCorrective action means action taken by the auditee that:\n\n(1) Corrects identified deficiencies;\n\n(2) Produces recommended improvements; or\n\n(3) Demonstrates that audit findings are either invalid or do not warrant auditee action.\n\nCost allocation plan means a central service or public assistance cost allocation plan.\n\nCost objective means a program, function, activity, award, organizational subdivision, contract, or work unit for which cost data are desired and for which provision is made to accumulate and measure the cost of processes, products, jobs, and capital projects. A cost objective may be a major function of the recipient or subrecipient, a particular service or project, a Federal award, or an indirect cost activity, as described in subpart E. See also the definitions of final cost objective and intermediate cost objective in this section.\n\nCost sharing means the portion of project costs not paid by Federal funds or contributions (unless authorized by Federal statute). This term includes matching, which refers to required levels of cost share that must be provided. See § 200.306.\n\nDisallowed cost means charges to a Federal award that the Federal agency or pass-through entity determines to be unallowable in accordance with applicable Federal statutes, regulations, the provisions of this part, or the terms and conditions of the Federal award.\n\nDiscretionary award means an award in which the Federal agency, in keeping with specific statutory authority that enables the agency to exercise judgment (“discretion”), selects the recipient or the amount of Federal funding awarded through a competitive process or based on merit of proposals. A discretionary award may be selected on a non-competitive basis, as appropriate.\n\nEquipment means tangible personal property (including information technology systems) having a useful life of more than one year and a per-unit acquisition cost that equals or exceeds the lesser of the capitalization level established by the recipient or subrecipient for financial statement purposes, or $10,000. See the definitions of capital assets, computing devices, general purpose equipment, information technology systems, special purpose equipment, and supplies in this section.\n\nExpenditures means charges made by a recipient or subrecipient to a project or program for which a Federal award is received.\n\n(1) The charges may be reported on a cash or accrual basis as long as the methodology is disclosed and consistently applied.\n\n(2) For reports prepared on a cash basis, expenditures are the sum of:\n\n(i) Cash disbursements for direct charges for property and services;\n\n(ii) The amount of indirect expense charged;\n\n(iii) The value of third-party in-kind contributions applied; and\n\n(iv) The amount of cash advance payments and payments made to subrecipients.\n\n(3) For reports prepared on an accrual basis, expenditures are the sum of:\n\n(i) Cash disbursements for direct charges for property and services;\n\n(ii) The amount of indirect expense incurred;\n\n(iii) The value of third-party in-kind contributions applied; and\n\n(iv) The net increase or decrease in the amounts owed by the recipient or subrecipient for:\n\n(A) Goods and other property received;\n\n(B) Services performed by employees, contractors, subrecipients, and other payees; and\n\n(C) Programs for which no current services or performance are required, such as annuities, insurance claims, or other benefit payments.\n\nFederal agency means an “agency” as defined at 5 U.S.C. 551(1) and further clarified by 5 U.S.C. 552(f). The term generally refers to the agency that provides a Federal award directly to a recipient unless the context indicates otherwise. See also definitions of Federal award and recipient.\n\nFederal Audit Clearinghouse (FAC) means the repository of record designated by OMB where non-Federal entities must transmit the information required by subpart F.\n\nFederal award has the meaning, depending on the context, in either paragraph (1) or (2) of this definition:\n\n(1)(i) The Federal financial assistance that a recipient receives directly from a Federal agency or indirectly from a pass-through entity, as described in § 200.101; or\n\n(ii) The cost-reimbursement contract under the Federal Acquisition Regulation that a non-Federal entity receives directly from a Federal agency or indirectly from a pass-through entity, as described in § 200.101.\n\n(2) The instrument setting forth the terms and conditions. The instrument is the grant agreement, cooperative agreement, other agreement for assistance covered in paragraph (2) of the definition of Federal financial assistance in this section, or the cost-reimbursement contract awarded under the Federal Acquisition Regulations.\n\n(3) Federal award does not include other contracts that a Federal agency uses to buy goods or services from a contractor or a contract to operate government-owned, contractor- operated (GOCO) facilities.\n\n(4) See also definitions of Federal financial assistance, grant agreement, and cooperative agreement.\n\nFederal award date means the date when the authorized official of the Federal agency signed (physically or digitally) the Federal award or when an alternative, consistent with the requirements of 31 U.S.C. 1501, is reached with the recipient.\n\nFederal financial assistance means:\n\n(1) Assistance that recipients or subrecipients receive or administer in the form of:\n\n(i) Grants;\n\n(ii) Cooperative agreements;\n\n(iii) Non-cash contributions or donations of property (including donated surplus property);\n\n(iv) Direct appropriations;\n\n(v) Food commodities; and\n\n(vi) Other financial assistance (except assistance listed in paragraph (2) of this definition).\n\n(2) For § 200.203 and subpart F of this part, Federal financial assistance also includes assistance that recipients or subrecipients receive or administer in the form of:\n\n(i) Loans;\n\n(ii) Loan Guarantees;\n\n(iii) Interest subsidies; and\n\n(iv) Insurance.\n\n(3) For § 200.216, Federal financial assistance includes assistance that recipients or subrecipients receive or administer in the form of:\n\n(i) Grants;\n\n(ii) Cooperative agreements;\n\n(iii) Loans; and\n\n(iv) Loan Guarantees.\n\n(4) Federal financial assistance does not include amounts received as reimbursement for services rendered to individuals as described in § 200.502(h) and (i).\n\n(5) For part 184 of this title, in addition to the forms of assistance listed in paragraph (1) of this definition, Federal financial assistance also includes assistance that recipients or subrecipients receive or administer in the form of:\n\n(i) Loans; and\n\n(ii) Loan Guarantees.\n\nFederal interest means, for purposes of § 200.330 or when used in connection with the acquisition or improvement of real property, equipment, or supplies under a Federal award, the dollar amount that is the product of the:\n\n(1) The percentage of Federal participation in the total cost of the real property, equipment, or supplies; and\n\n(2) Current fair market value of the property, improvements, or both, to the extent the costs of acquiring or improving the property were included as project costs.\n\nFederal program means:\n\n(1) All Federal awards which are assigned a single Assistance Listings Number.\n\n(2) When no Assistance Listings Number is assigned, all Federal awards from the same agency made for the same purpose must be combined and considered one program.\n\n(3) Notwithstanding paragraphs (1) and (2) of this definition, a cluster of programs. The types of clusters of programs are:\n\n(i) Research and development (R&amp;D);\n\n(ii) Student financial aid (SFA); and\n\n(iii) “Other clusters,” as described in the definition of cluster of programs in this section. Federal share means the portion of the Federal award costs paid using Federal funds.\n\nFinal cost objective means a cost objective that has allocated to it both direct and indirect costs and, in the recipient's or subrecipient's accumulation system, is one of the final accumulation points, such as a particular award, internal project, or other direct activity of a recipient or subrecipient. See also the definitions of cost objective and intermediate cost objective in this section.\n\nFinancial obligations means orders placed for property and services, contracts and subawards made, and similar transactions that require payment by a recipient or subrecipient under a Federal award that will result in expenditures by a recipient or subrecipient under a Federal award.\n\nFixed amount award means a type of grant or cooperative agreement pursuant to which the Federal agency or pass-through entity provides a specific amount of funding without regard to actual costs incurred under the Federal award. This type of Federal award reduces some of the administrative burden and record-keeping requirements for both the recipient or subrecipient and the Federal agency or pass-through entity. Accountability is based primarily on performance and results. See §§ 200.102(c), 200.101(b), 200.201(b), and 200.333.\n\nFor-profit organization generally means an organization or entity organized for the purpose of earning a profit. The term includes but is not limited to:\n\n(1) An “S corporation” incorporated under subchapter S of the Internal Revenue Code;\n\n(2) A corporation incorporated under another authority;\n\n(3) A partnership;\n\n(4) A limited liability company or partnership; and\n\n(5) A sole proprietorship.\n\nForeign organization means an entity that is:\n\n(1) A public or private organization located in a country other than the United States and its territories that is subject to the laws of the country in which it is located, irrespective of the citizenship of project staff or place of performance;\n\n(2) A private nongovernmental organization located in a country other than the United States that solicits and receives cash contributions from the general public;\n\n(3) A charitable organization located in a country other than the United States that is nonprofit and tax-exempt under the laws of the country where it is registered and is not a university, college, accredited degree-granting institution of education, private foundation, hospital, an organization engaged exclusively in research or scientific activities, church, synagogue, mosque or other similar entities organized primarily for religious purposes; or\n\n(4) An organization located in a country other than the United States not recognized as a foreign public entity.\n\nForeign public entity means:\n\n(1) A foreign government or foreign governmental entity;\n\n(2) A public international organization, which is an organization entitled to enjoy privileges, exemptions, and immunities as an international organization under the International Organizations Immunities Act (22 U.S.C. 288-288f);\n\n(3) An entity owned (in whole or in part) or controlled by a foreign government; or\n\n(4) Any other entity consisting wholly or partially of one or more foreign governments or foreign governmental entities.\n\nGeneral purpose equipment means equipment that is not limited to research, medical, scientific, or other technical activities. Examples include office equipment and furnishings, modular offices, telephone networks, information technology equipment and systems, air conditioning equipment, reproduction and printing equipment, and motor vehicles. See also the definitions of equipment and special purpose equipment in this section.\n\nGenerally accepted accounting principles (GAAP) has the meaning specified in accounting standards issued by the Government Accounting Standards Board (GASB) and the Financial Accounting Standards Board (FASB).\n\nGenerally accepted government auditing standards (GAGAS), also known as the Yellow Book, means generally accepted government auditing standards issued by the Comptroller General of the United States, which apply to financial audits.\n\nGrant agreement or grant means a legal instrument of financial assistance between a Federal agency and a recipient or between a pass-through entity and a subrecipient, consistent with 31 U.S.C. 6302, 6304:\n\n(1) Is used to enter into a relationship, the principal purpose of which is to transfer anything of value to carry out a public purpose authorized by a law of the United States (see 31 U.S.C. 6101(3)); and not to acquire property or services for the Federal agency or pass-through entity's direct benefit or use;\n\n(2) Is distinguished from a cooperative agreement in that it does not provide for substantial involvement of the Federal agency in carrying out the activity contemplated by the Federal award.\n\n(3) Does not include an agreement that provides only:\n\n(i) Direct United States Government cash assistance to an individual;\n\n(ii) A subsidy;\n\n(iii) A loan;\n\n(vi) A loan guarantee; or\n\n(v) Insurance.\n\nHighest-level owner means the entity that owns or controls an immediate owner of an applicant or that owns or controls one or more entities that control an immediate owner of an applicant. No entity owns or exercises control of the highest-level owner as defined in the Federal Acquisition Regulations (FAR) (48 CFR 52.204-17).\n\nHospital means a facility licensed as a hospital under the law of any State or a facility operated as a hospital by the United States, a State, or a subdivision of a State.\n\nImproper payment means a payment that should not have been made or that was made in an incorrect amount under statutory, contractual, administrative, or other legally applicable requirements. The term improper payment includes: any payment to an ineligible recipient; any payment for an ineligible good or service; any duplicate payment; any payment for a good or service not received, except for those payments where authorized by law; any payment that is not authorized by law; and any payment that does not account for credit for applicable discounts. See OMB Circular A-123 Appendix C, Requirements for Payment Integrity Improvement for additional definitions and guidance on the requirements for payment integrity.\n\nIndian Tribe means any Indian Tribe, band, nation, or other organized group or community, including any Alaska Native village or regional or village corporation as defined in or established pursuant to the Alaska Native Claims Settlement Act (43 U.S.C. Chapter 33), which is recognized as eligible for the special programs and services provided by the United States to Indians because of their status as Indians. See 25 U.S.C. 5304(e). This includes any Indian Tribe identified in the annually published Bureau of Indian Affairs list of “Indian Entities Recognized and Eligible to Receive Services” and other entities that qualify as an Alaska Native village or regional village corporation as defined in or established pursuant to the Alaska Native Claims Settlement Act.\n\nIndirect cost means those costs incurred for a common or joint purpose benefitting more than one cost objective and not readily assignable to the cost objectives specifically benefitted, without effort disproportionate to the results achieved. It may be necessary to establish multiple pools of indirect costs to facilitate equitable distribution of indirect expenses to the cost objectives served. Indirect cost pools must be distributed to benefitted cost objectives on basis that will produce an equitable result in consideration of relative benefits derived. For Institutions of Higher Education (IHE), the term facilities and administrative (F&amp;A) cost is often used to refer to indirect costs.\n\nIndirect cost rate proposal means the documentation prepared by a recipient to substantiate its request to establish an indirect cost rate as described in appendices III through VII and appendix IX to this part.\n\nInformation technology systems means computing devices, ancillary equipment, software, firmware, and related procedures, services (including support services), and resources. See also the definitions of computing devices and equipment in this section.\n\nInstitution of Higher Education (IHE) is defined at 20 U.S.C. 1001.\n\nIntangible property means property having no physical existence, such as trademarks, copyrights, data (including data licenses), websites, IP licenses, trade secrets, patents, patent applications, and property such as loans, notes and other debt instruments, lease agreements, stocks and other instruments of property ownership of either tangible or intangible property, such as intellectual property, software, or software subscriptions or licenses.\n\nIntermediate cost objective means a cost objective that is used to accumulate indirect costs or service center costs that are subsequently allocated to one or more indirect cost pools or final cost objectives. See this section's definitions of cost objective and final cost objective.\n\nInternal control for recipients and subrecipients means processes designed and implemented by recipients and subrecipients to provide reasonable assurance regarding the achievement of objectives in the following categories:\n\n(1) Effectiveness and efficiency of operations;\n\n(2) Reliability of reporting for internal and external use; and\n\n(3) Compliance with applicable laws and regulations.\n\nLoan means a Federal loan or loan guarantee received or administered by a recipient or subrecipient, except as used in this section's definition of program income.\n\n(1) The term “direct loan” means a disbursement of funds by the Federal Government to a non-Federal borrower under a contract that requires the repayment of such funds with or without interest. The term includes the purchase of, or participation in, a loan made by another lender and financing arrangements that defer payment for more than 90 days, including the sale of a Federal Government asset on credit terms. The term does not include the acquisition of a federally guaranteed loan in satisfaction of default claims or the price support loans of the Commodity Credit Corporation.\n\n(2) The term “direct loan obligation” means a binding agreement by a Federal agency to make a direct loan when specified conditions are fulfilled by the borrower.\n\n(3) The term “loan guarantee” means any Federal Government guarantee, insurance, or other pledges for the payment of all or a part of the principal or interest on any debt obligation of a non-Federal borrower to a non-Federal lender but does not include the insurance of deposits, shares, or other withdrawable accounts in financial institutions.\n\n(4) The term “loan guarantee commitment” means a binding agreement by a Federal agency to make a loan guarantee when specified conditions are fulfilled by the borrower, the lender, or any other party to the guarantee agreement.\n\nLocal government means any unit of government within a State, including a:\n\n(1) County;\n\n(2) Borough;\n\n(3) Municipality;\n\n(4) City;\n\n(5) Town;\n\n(6) Township;\n\n(7) Parish;\n\n(8) Local public authority, including any public housing agency under the United States Housing Act of 1937;\n\n(9) Special district;\n\n(10) School district;\n\n(11) Intrastate district;\n\n(12) Council of governments, whether or not incorporated as a nonprofit corporation under State law; and\n\n(13) Any other agency or instrumentality of a multi-, regional, or intra-State or local government.\n\nMajor program means a Federal program determined by the auditor to be a major program in accorda</t>
  </si>
  <si>
    <t>Inludes practical tip and the exclusion note</t>
  </si>
  <si>
    <t>Same as last</t>
  </si>
  <si>
    <t>Reading the eCFR research admin skillLoading toolsResultEEcfr get title versionsResultEEcfr get regulationResultDoneThe answer is right in the MTDC definition retrieved directly from the live regulation. Here's what the rule says:
Per 2 CFR § 200.1, as of October 1, 2024, the following items must be excluded from the Modified Total Direct Cost (MTDC) base when calculating indirect costs:
Equipment — tangible personal property with a useful life over one year and acquisition cost at or above the capitalization threshold (or $10,000)
Capital expenditures — costs to acquire or improve capital assets
Charges for patient care
Rental costs
Tuition remission
Scholarships and fellowships
Participant support costs — stipends, subsistence allowances, travel allowances, registration fees, etc. paid directly to or on behalf of participants
The portion of each subaward in excess of $50,000 — only the first $50,000 of each subaward is included in the MTDC base, regardless of the subaward's period of performance
There is also a limited escape valve: other items may be excluded only when necessary to avoid a serious inequity in the distribution of indirect costs, and only with the approval of the cognizant agency for indirect costs. This is a narrow exception — it requires both a demonstrable inequity and agency sign-off.
A practical note: the $50,000 subaward threshold is per subaward, not per project. If you have multiple subawards under one award, each gets its own $50,000 cap in the MTDC base. Your institution's negotiated indirect cost rate agreement (NICRA) may also impose additional exclusions, so always check that document alongside the regulation.</t>
  </si>
  <si>
    <t>More italics than last, but same response</t>
  </si>
  <si>
    <t>Used ecfr integration, viewed a file, loaded toolsUsed ecfr integration, viewed a file, loaded toolsReading the eCFR research admin skillLoading toolsResultEEcfr get title versionsResultEEcfr get regulationResultDoneThe MTDC definition is right in the definitions section. Here's the authoritative answer:
Per 2 CFR § 200.1 (as of October 1, 2024), the following items must be excluded from the Modified Total Direct Cost (MTDC) base:
Equipment — tangible personal property with a useful life of more than one year and a per-unit acquisition cost at or above the capitalization threshold (or $10,000).
Capital expenditures — expenditures to acquire or improve capital assets.
Charges for patient care
Rental costs
Tuition remission
Scholarships and fellowships
Participant support costs — direct costs supporting participant involvement such as stipends, subsistence allowances, travel allowances, and registration fees.
The portion of each subaward in excess of $50,000 — only the first $50,000 of each subaward is included in MTDC, regardless of the subaward's period of performance.
One additional exclusion is also permitted: Other items may be excluded, but only when necessary to avoid a serious inequity in the distribution of indirect costs, and only with the approval of the cognizant agency for indirect costs. This is a narrow exception — it's not something you can apply unilaterally.
To recap what is included in MTDC: all direct salaries and wages, applicable fringe benefits, materials and supplies, services, travel, and the first $50,000 of each subaward.
A practical note: the $50,000 subaward threshold applies per subaward, not per subrecipient, and it resets with each new award (not each budget period). If your institution's negotiated indirect cost rate agreement (NICRA) specifies any additional exclusions, those terms govern — your rates office is the right point of contact for institution-specific questions.</t>
  </si>
  <si>
    <t>Used ecfr integration, viewed a file, loaded toolsUsed ecfr integration, viewed a file, loaded toolsReading the eCFR research admin skillLoading toolsResultEEcfr get title versionsResultEEcfr get regulationResultDoneThe MTDC definition is right there in the definitions section. Here's the complete, authoritative answer pulled directly from the current regulation:
Per 2 CFR § 200.1, as of October 1, 2024, the definition of Modified Total Direct Cost (MTDC) specifies the following mandatory exclusions from the MTDC base:
Equipment — tangible personal property with a useful life of more than one year and per-unit acquisition cost of $10,000 or more
Capital expenditures — costs to acquire or improve capital assets
Charges for patient care
Rental costs
Tuition remission
Scholarships and fellowships
Participant support costs — stipends, subsistence allowances, travel allowances, registration fees, and similar costs paid directly to or on behalf of participants
The portion of each subaward in excess of $50,000 — only the first $50,000 of each subaward is included in the MTDC base, regardless of the subaward's period of performance
The regulation also provides for a discretionary exclusion: other items may be excluded only when necessary to avoid a serious inequity in the distribution of indirect costs and only with the approval of the cognizant agency for indirect costs. This is a narrow exception and requires explicit agency approval — it cannot be applied unilaterally.
What's included in MTDC (for context): all direct salaries and wages, applicable fringe benefits, materials and supplies, services, travel, and up to the first $50,000 of each subaward.
Practical note: The subaward threshold is applied per subaward — not per subrecipient or in aggregate. So if you have three subawards of $80,000 each, you include $50,000 × 3 = $150,000 in the MTDC base, regardless of how those subawards are structured over time. If you have questions about how your institution applies any of these exclusions, your sponsored programs office or cognizant federal agency is the right resource for institution-specific interpretation.</t>
  </si>
  <si>
    <t>Practical note but no example</t>
  </si>
  <si>
    <t>Wording with "escape valve" which I do not like</t>
  </si>
  <si>
    <t>Used ecfr integration, viewed a file, loaded toolsUsed ecfr integration, viewed a file, loaded toolsReading the eCFR research admin skillLoading toolsResultEEcfr get title versionsResultEEcfr get regulationResultDoneThe answer is right in the MTDC definition retrieved directly from the live regulation. Here's what the rule says:
Per 2 CFR § 200.1, as of October 1, 2024, the following items must be excluded from the Modified Total Direct Cost (MTDC) base when calculating indirect costs:
Equipment — tangible personal property with a useful life over one year and acquisition cost at or above the capitalization threshold (or $10,000)
Capital expenditures — costs to acquire or improve capital assets
Charges for patient care
Rental costs
Tuition remission
Scholarships and fellowships
Participant support costs — stipends, subsistence allowances, travel allowances, registration fees, etc. paid directly to or on behalf of participants
The portion of each subaward in excess of $50,000 — only the first $50,000 of each subaward is included in the MTDC base, regardless of the subaward's period of performance
There is also a limited escape valve: other items may be excluded only when necessary to avoid a serious inequity in the distribution of indirect costs, and only with the approval of the cognizant agency for indirect costs. This is a narrow exception — it requires both a demonstrable inequity and agency sign-off.
A practical note: the $50,000 subaward threshold is per subaward, not per project. If you have multiple subawards under one award, each gets its own $50,000 cap in the MTDC base. Your institution's negotiated indirect cost rate agreement (NICRA) may also impose additional exclusions, so always check that document alongside the regulation.</t>
  </si>
  <si>
    <t>Used ecfr integration, viewed a file, loaded toolsUsed ecfr integration, viewed a file, loaded toolsReading the eCFR research admin skillLoading toolsResultEEcfr get title versionsResultEEcfr get regulationResultDoneThe MTDC definition is right there in the definitions section. Here's what the regulation says:
Per 2 CFR § 200.1, as of October 1, 2024, the Modified Total Direct Cost (MTDC) base excludes the following items from the indirect cost calculation:
Equipment — tangible personal property with a useful life of more than one year and per-unit acquisition cost meeting the capitalization threshold (generally ≥ $10,000)
Capital expenditures — costs to acquire or materially improve capital assets
Charges for patient care
Rental costs
Tuition remission
Scholarships and fellowships
Participant support costs — stipends, subsistence allowances, travel allowances, registration fees, and similar costs paid directly to or on behalf of participants
The portion of each subaward in excess of $50,000 — only the first $50,000 of each subaward is included in the MTDC base, regardless of the subaward's period of performance
The regulation also notes that other items may be excluded, but only when necessary to avoid a serious inequity in the distribution of indirect costs and with the approval of the cognizant agency for indirect costs. This is a high bar — it's not a general waiver provision.
Practical implications for sponsored programs staff: These exclusions matter enormously for budget planning. Large subawards, equipment purchases, and participant support costs in a project will reduce your MTDC base and therefore the total F&amp;A dollars recovered. When building budgets, be sure to apply these exclusions correctly — and if you believe an additional exclusion is warranted, you'll need to make that case to your cognizant federal agency (e.g., DHHS, NSF, DOD, depending on your institution's major funding source). Your institution may also have internal policies that are stricter than the regulatory minimum.</t>
  </si>
  <si>
    <t>Includes practicalities and specific agency callouts. Better formatting withnumbered bullets and not just sentences or bullets.</t>
  </si>
  <si>
    <t>The MTDC definition lives at 2 CFR § 200.1 (definitions) and the indirect cost rate rules at 2 CFR § 200.414. Let me fetch the authoritative text now.
Per 2 CFR § 200.1 of the Uniform Guidance, the Modified Total Direct Costs (MTDC) base is defined as all direct salaries and wages, applicable fringe benefits, materials and supplies, services, travel, and the first $25,000 of each subaward — but the following must be excluded:
Mandatory MTDC Exclusions
CategoryNotesEquipmentItems with a unit cost ≥ the institution's capitalization threshold (typically $5,000+)Capital expendituresConstruction, renovations, or betterments to real propertyPatient care chargesCosts charged to projects for direct patient care in clinical settingsRental costsCosts for off-campus space or equipment rentalTuition remissionGraduate student tuition waivers or fee remissions tied to appointmentsScholarships and fellowshipsStipends, trainee support, and other fellowship paymentsParticipant support costsIncentives, stipends, travel, and subsistence for research subjects/participantsSubaward costs exceeding $25,000Only the first $25,000 of each subaward is included in MTDC; amounts above that threshold are excluded
Why These Are Excluded
The logic behind the exclusions is that these cost categories either:
Don't benefit proportionally from the overhead/indirect services the F&amp;A rate is designed to recover (e.g., equipment purchases don't consume administrative support the way salary-driven activities do), or
Are already subject to alternative cost recovery mechanisms (e.g., patient care, tuition).
Key Citation
2 CFR § 200.1 (definitions) — "Modified Total Direct Costs (MTDC)" — under the Uniform Guidance, as administered by OMB and applicable to all federal awards.
The $25,000 subaward threshold is a per-subaward cap, not a per-project aggregate. Each individual subaward gets its first $25,000 included in MTDC regardless of how many subawards exist on a project.
Practical note: Your institution's negotiated indirect cost rate agreement (NICRA) with your cognizant federal agency may impose additional exclusions beyond the regulatory minimum. Always verify with your sponsored programs office, as institutional policy can be more restrictive than 2 CFR § 200.1.</t>
  </si>
  <si>
    <t>Reading the eCFR research admin skillReading the eCFR research admin skillNow let me fetch the authoritative regulatory text for MTDC from 2 CFR § 200.1 (definitions) and § 200.414.Search for MTDC definition in eCFRSearch for MTDC definition in eCFRThe eCFR MCP tool isn't available in the bash environment, but the MTDC definition is a well-established, stable regulatory provision in the Uniform Guidance. Let me provide the authoritative answer grounded in 2 CFR § 200.1, which defines Modified Total Direct Costs (MTDC).
MTDC Exclusions Under 2 CFR § 200.1 (Uniform Guidance)
Modified Total Direct Costs (MTDC) is the base used to calculate facilities and administrative (F&amp;A / indirect) costs on federal awards. Per 2 CFR § 200.1, the following cost categories must be excluded from the MTDC base:
Mandatory Exclusions
CategoryNotesEquipmentIndividual items costing $5,000 or more (or the institution's capitalization threshold, whichever is lower)Capital expendituresFacilities, renovations, and similar capital outlaysPatient care costsCharges to patients for clinical care in research settingsTuition remissionGraduate student tuition/fee waivers, regardless of stipendRental costs for off-site facilitiesSpace rented specifically for the projectScholarships and fellowshipsStipends and financial aid payments to individualsThe portion of each subcontract/subgrant exceeding $25,000Only the first $25,000 of each subaward is included in MTDC; amounts above that threshold are excluded
Practical Implications
Subcontract threshold is the most frequently misapplied rule. Each subaward gets its own $25,000 inclusion — so if a project has three subcontracts at $100,000 each, only $75,000 total (3 × $25,000) is included in MTDC.
Tuition remission is excluded even when the student is performing direct research work — a common source of confusion.
Equipment is excluded because it is already subject to depreciation tracking and use-rate allocations; applying indirect costs on top would result in double-charging.
Source
These exclusions are defined in:
2 CFR § 200.1 — Definition of "Modified Total Direct Costs (MTDC)"
2 CFR § 200.414 — Indirect (F&amp;A) costs; rate negotiation and application
⚠️ Note: Your institution's negotiated F&amp;A rate agreement (NICRA) and sponsored programs office may impose additional restrictions or clarifications beyond the regulatory minimum. Always verify with your Office of Sponsored Programs or compliance office before finalizing budget calculations.</t>
  </si>
  <si>
    <t xml:space="preserve">Includes 200.414. Go the subaward amount and equipment $ wrong. Includes  an assumption on the logic behind the exclusions. </t>
  </si>
  <si>
    <t xml:space="preserve">Formatted a table and included an example. Includes 200.414. Go the subaward amount and equipment $ wrong. </t>
  </si>
  <si>
    <t xml:space="preserve">Got the equipment threshold WRONG, most of the same info. Does not describe the bullets very well. </t>
  </si>
  <si>
    <t>Formatted a table and included an example. Included many other citation sections. Go the subaward amount and equipment $ wrong. I did not like the Practical Signifiance section</t>
  </si>
  <si>
    <t>Get valid date for 2 CFR Part 200Get valid date for 2 CFR Part 200The MCP tools for eCFR aren't available in this environment directly via bash, but I can answer this question accurately from the Uniform Guidance at 2 CFR § 200.1 (definitions) and 2 CFR § 200.414 (indirect costs), which define the Modified Total Direct Cost (MTDC) base.
MTDC Exclusions Under 2 CFR § 200.1
The Modified Total Direct Cost (MTDC) base is used to calculate indirect (F&amp;A) costs on federal awards. It starts with total direct costs and then excludes the following categories:
Mandatory Exclusions
Excluded ItemExplanationEquipmentCapital expenditures for items with a unit cost ≥ the institutional capitalization threshold (typically $5,000+)Capital expendituresBuilding purchases, renovations, and other capital improvementsPatient care costsCharges to patients or third-party payers for clinical servicesTuition remissionGraduate student tuition/fee waivers paid as part of compensationRental costs for off-site facilitiesSpace rented outside the institution's normal facilitiesScholarships and fellowshipsDirect awards to students (stipends, tuition payments, etc.)Subcontract costs exceeding $25,000 per subcontractOnly the first $25,000 of each subaward/subcontract is included in MTDC; amounts above that threshold are excluded
Practical Significance of Each Exclusion
Equipment &amp; capital: These are large, one-time costs that don't meaningfully benefit from the ongoing institutional overhead that F&amp;A rates are designed to recover.
$25K subcontract cap: Recognizes that subrecipients bear their own indirect costs — applying the prime institution's full F&amp;A rate to the entire subcontract would effectively double-charge overhead.
Tuition remission: Often treated as a benefit for graduate research assistants, but it flows to the university itself, so applying F&amp;A on top would be circular.
Patient care costs: Clinical service revenue is governed by separate cost accounting rules.
Scholarships/fellowships: Direct student support doesn't consume institutional administrative resources in the same way that personnel and supplies do.
Key Regulatory Citations
Definition of MTDC: 2 CFR § 200.1
Indirect cost rate application: 2 CFR § 200.414
Equipment threshold: 2 CFR § 200.1 (definition of "equipment")
Subawards/subcontracts: 2 CFR § 200.332
⚠️ Note: I always recommend verifying the current regulatory text directly via eCFR.gov or consulting your sponsored programs office, as the Uniform Guidance can be amended. The $25,000 subcontract threshold and the listed exclusion categories have been stable but institutional negotiated rate agreements (NRAs) with cognizant federal agencies may contain additional institution-specific terms.
Would you like me to look up any of these provisions in more detail, or explore how MTDC applies to a specific cost situation?</t>
  </si>
  <si>
    <t xml:space="preserve">Got everything correctly with a nicely formatted table. Did not include additional citation sections. </t>
  </si>
  <si>
    <t>Now let me fetch the actual regulatory text for MTDC from 2 CFR § 200.1 (definitions) and § 200.414.Now let me look up the actual regulation text for MTDC.Searched the webSearched the webPer 2 CFR § 200.1 (as amended effective October 1, 2024), here is the authoritative answer:
What MTDC Includes
MTDC means all direct salaries and wages, applicable fringe benefits, materials and supplies, services, travel, and up to the first $50,000 of each subaward (regardless of the period of performance of the subawards under the award). eCFR
What Must Be Excluded from the MTDC Base
MTDC excludes equipment, capital expenditures, charges for patient care, rental costs, tuition remission, scholarships and fellowships, participant support costs, and the portion of each subaward in excess of $50,000. eCFR
Here's a quick summary of each mandatory exclusion:
Excluded ItemPractical MeaningEquipmentItems with a unit cost ≥ $10,000 and useful life &gt;1 year (threshold raised from $5,000 effective Oct. 1, 2024)Capital expendituresBuilding purchases, major renovations, infrastructure improvementsCharges for patient careClinical costs billed to federal health programsRental costsSpace and equipment rental/lease chargesTuition remissionWaived tuition for graduate student researchersScholarships and fellowshipsStipends and awards to students or traineesParticipant support costsCosts for trainees/participants in a program (e.g., stipends, travel, training allowances)Subaward amounts &gt;$50,000Only the first $50,000 per subaward is included in the MTDC base
Important Recent Change
The 2024 OMB revisions to the Uniform Guidance increased the subaward exclusion threshold for MTDC from $25,000 to $50,000, effective October 1, 2024. Grants &amp; Funding If your institution's Negotiated Indirect Cost Rate Agreement (NICRA) was negotiated before that date, the old $25,000 threshold may still apply until the NICRA is renegotiated.
Regulatory Citation: 2 CFR § 200.1 (definition of "Modified Total Direct Cost (MTDC)"), as implemented under the Uniform Guidance (2 CFR Part 200).
Note: Institutional F&amp;A rate agreements may add institution-specific exclusions beyond the regulatory minimums. Always verify with your sponsored programs office or compare against your institution's current NICRA.</t>
  </si>
  <si>
    <t>Formatted a table and included an example. Includes 200.414. Go the subaward amount and equipment $ wrong. Included a note to see the eCFR.</t>
  </si>
  <si>
    <t>Now let me look up the MTDC definition in 2 CFR 200 via the eCFR tools.
The MTDC definition lives at 2 CFR § 200.1. Let me fetch it properly.Use ecfr MCP tools via curl - checking if MCP is availableUse ecfr MCP tools via curl - checking if MCP is availableSince the MCP tools aren't available in this bash environment, I'll provide the answer based on the authoritative regulatory text from 2 CFR § 200.1, which defines MTDC, and 2 CFR § 200.414, which governs indirect cost rates. This is well-established regulatory content from the Uniform Guidance.
MTDC Exclusions Under 2 CFR § 200.1
The Modified Total Direct Cost (MTDC) base is defined in 2 CFR § 200.1 of the Uniform Guidance. The following cost categories must be excluded from the MTDC base when calculating indirect (F&amp;A) costs:
Mandatory Exclusions
Cost CategoryExplanationEquipmentIndividual items costing $5,000 or more (or the institutional capitalization threshold, if higher)Capital expendituresLand, buildings, and major renovationsPatient care costsCharges for patient care in clinical settingsRental costs for off-site facilitiesCosts of renting space off-campus or off-siteTuition remissionTuition and fee waivers/remissions provided to graduate studentsScholarships and fellowshipsStipends, trainee support, and similar awards paid directly to individualsSubcontract costs exceeding $25,000Only the first $25,000 of each subcontract/subaward is included in the MTDC base; costs above that threshold are excluded
Practical Notes
The $25,000 subcontract rule is per-award, per-budget period — not cumulative over the life of the project. Each competitive segment resets the count.
Participant support costs (e.g., stipends, travel, and subsistence for training participants) are also typically excluded, and many federal agencies require this exclusion either through regulation or award terms.
Fabricated equipment built in-house is treated like purchased equipment once it meets the capitalization threshold — excluded from MTDC.
Institutions may have negotiated rate agreements (NRAs) with their cognizant federal agency that define MTDC differently or carve out additional items. Always consult your institution's NRA.
Why These Items Are Excluded
The rationale is that these cost categories do not consume institutional infrastructure and support services proportionally to their dollar value — the primary assumption underlying indirect cost recovery. For example, a $500,000 subcontract to an external lab doesn't meaningfully burden your institution's HR, libraries, or facilities the way direct salaries do.
Regulatory Citation: 2 CFR § 200.1 (definitions, "Modified Total Direct Costs") and 2 CFR § 200.414 (indirect cost rates).
⚠️ Regulations are periodically amended. Always verify current text via ecfr.gov and consult your sponsored programs office or legal counsel for institutional application.</t>
  </si>
  <si>
    <t xml:space="preserve">Got the subaward correct but the equipment number wrong. </t>
  </si>
  <si>
    <t>Now let me fetch the current regulatory text on MTDC from 2 CFR § 200.1 (definitions) and § 200.414.Get title versions for 2 CFR Part 200 to find a valid dateGet title versions for 2 CFR Part 200 to find a valid dateThe MCP tool server isn't accessible via bash — let me fetch the MTDC definition directly from the eCFR website.Searched the webSearched the webHere is a complete answer grounded in the current regulatory text.
MTDC Exclusions Under 2 CFR § 200.1 (Uniform Guidance)
Per 2 CFR § 200.1, Modified Total Direct Cost (MTDC) means all direct salaries and wages, applicable fringe benefits, materials and supplies, services, travel, and up to the first $50,000 of each subaward (regardless of the period of performance of the subawards under the award). Legal Information Institute
Note: The $50,000 subaward threshold reflects the 2024 revisions to the Uniform Guidance. The effective date transition between the old $25,000 and the revised $50,000 threshold (and other 2024 MTDC changes) is determined on an award-by-award basis — the revised MTDC definition applies only when the 2024 revisions are effective for a given award. Clark Nuber PS
Mandatory Exclusions from the MTDC Base
The following cost categories must be excluded from the MTDC base: Legal Information Institute
Excluded Cost CategoryPractical MeaningEquipmentItems meeting the capitalization threshold (generally ≥$5,000 per unit with useful life &gt;1 year)Capital expendituresPurchases of long-lived assets, land, and building improvementsCharges for patient careClinical costs related to patient treatment in a hospital or research contextRental costsSpace and equipment rental/leasesTuition remissionGraduate student tuition paid as part of compensationScholarships and fellowshipsDirect financial awards to students/traineesParticipant support costsStipends, subsistence, travel, and registration fees for program participantsSubaward amounts &gt;$50,000Only the first $50,000 of each subaward is in the base; the excess is excluded
Why These Categories Are Excluded
These costs are removed from the base because they either generate their own indirect-cost burden disproportionate to the rate (e.g., large subawards, equipment), or they don't benefit from the institution's general infrastructure in the same way that salaries and supplies do (e.g., patient care, tuition remission). Including them would distort the indirect cost rate and result in over- or under-recovery.
Additional Exclusions (Rare/Negotiated)
Other items may be excluded from MTDC only when including them would cause a serious inequity in indirect cost distribution, and only with the approval of the cognizant agency for indirect costs (e.g., ONR, DHHS, NSF). This is a narrow exception and requires formal negotiation — institutions cannot unilaterally exclude additional items.
Citation: 2 CFR § 200.1 (Uniform Guidance, as revised effective October 1, 2024 for new awards). Always verify the applicable version for your specific award, as the $25,000 vs. $50,000 subaward threshold depends on when the award was issued. When in doubt, consult your cognizant agency or institutional compliance office.</t>
  </si>
  <si>
    <t>Does not include equipment $ but subaward is correct. No table formatting.</t>
  </si>
  <si>
    <t>Now let me look up the MTDC definition from the current regulatory text.Searched the webSearched the webPer 2 CFR § 200.1 of the Uniform Guidance, here are the costs that must be excluded from the MTDC base:
MTDC includes all direct salaries and wages, applicable fringe benefits, materials and supplies, services, travel, and up to the first $50,000 of each subaward (regardless of the period of performance of the subawards under the award). eCFR However, MTDC excludes equipment, capital expenditures, charges for patient care, rental costs, tuition remission, scholarships and fellowships, participant support costs, and the portion of each subaward in excess of $50,000. eCFR
To summarize, the eight MTDC exclusions are:
Equipment — tangible personal property with a per-unit acquisition cost at or above the capitalization threshold
Capital expenditures — costs for acquisition, improvement, or reconstruction of real property
Charges for patient care — costs associated with clinical care of patients
Rental costs — costs for leasing facilities or equipment
Tuition remission — the value of tuition waived for graduate students working on grants
Scholarships and fellowships — stipends and other direct financial assistance to students
Participant support costs — direct costs for items such as stipends, subsistence, and travel for training participants (not employees)
Subaward amounts exceeding $50,000 — only the first $50,000 of each individual subaward is included in the base
Practical note: These exclusions exist because the costs either already carry their own indirect cost burden (e.g., subawards) or because they don't meaningfully consume the institution's administrative infrastructure in a way proportional to their dollar value (e.g., large equipment purchases, patient care). Your institution's negotiated indirect cost rate agreement (NICRA) may impose additional exclusions beyond these regulatory minimums, so always consult your rate agreement and sponsored programs office for award-specific application.</t>
  </si>
  <si>
    <t xml:space="preserve">Got everything correctly. Did not include additional citation sections. </t>
  </si>
  <si>
    <t>I'll look up the authoritative regulatory text on MTDC from 2 CFR 200. Let me follow the skill workflow.Now let me look up the MTDC definition in 2 CFR 200.Searched the webSearched the webI have the authoritative regulatory text. Here is a comprehensive answer grounded in 2 CFR § 200.1 (as updated by the 2024 OMB revisions, effective October 1, 2024).
MTDC Exclusions under 2 CFR § 200.1
The Modified Total Direct Cost (MTDC) base starts with all direct salaries and wages, applicable fringe benefits, materials and supplies, services, travel, and up to the first $50,000 of each subaward (regardless of the subaward's period of performance). eCFR The following cost categories must be excluded from that base before applying your indirect cost rate:
1. Equipment
Any individual item of tangible property meeting the definition of equipment (per 2 CFR § 200.1). The 2024 revisions raised the equipment threshold from $5,000 to $10,000 Grants &amp; Funding, so items with an acquisition cost below $10,000 are now treated as supplies and remain in the MTDC base.
2. Capital expenditures
Costs for acquiring or improving capital assets, such as buildings, land, or building improvements.
3. Charges for patient care
Costs associated with patient care services, common in clinical or medical research settings.
4. Rental costs
Costs to rent or lease facilities or equipment are excluded (they are treated as indirect costs by nature in most rate negotiations).
5. Tuition remission
Payments made in lieu of or in addition to salaries that waive tuition obligations (common for graduate research assistants).
6. Scholarships and fellowships
Direct awards to students in the form of scholarships, fellowships, or stipends.
7. Participant support costs
Direct costs for items such as stipends, subsistence allowances, travel, and registration fees paid to or on behalf of participants in a training project or conference.
8. Subaward amounts above $50,000
Only the first $50,000 of each subaward is included in the MTDC base; the portion of each subaward in excess of $50,000 is excluded. eCFR Note: this threshold was increased from $25,000 to $50,000 under the 2024 revisions effective October 1, 2024. Grants &amp; Funding
Important note on additional exclusions: Other items may only be excluded when necessary to avoid a serious inequity in the distribution of indirect costs, and only with the approval of the cognizant agency for indirect costs. Cornell Law School You cannot unilaterally exclude items beyond these eight categories.
Practical tip: If your institution is operating under a Negotiated Indirect Cost Rate Agreement (NICRA) that was executed before October 1, 2024, the old $25,000 subaward threshold may still be in effect until your NICRA is renegotiated. OMB has encouraged cognizant agencies to accommodate requests to renegotiate existing NICRAs that extend beyond October 1, 2025. Grants &amp; Funding
Always verify your institution's specific NICRA with your sponsored programs office, as institutional agreements can impose additional requirements beyond the regulatory floor.</t>
  </si>
  <si>
    <t>Yes to show equipment and subaward differences.</t>
  </si>
  <si>
    <t>5 questions</t>
  </si>
  <si>
    <t>What indirect cost policy changes exist between the 2022 and current Uniform Guidance revisions?</t>
  </si>
  <si>
    <t>Maybe</t>
  </si>
  <si>
    <t>How have prior approvals for federal grants and contracts changed recently?</t>
  </si>
  <si>
    <t>Included nice table and caveat</t>
  </si>
  <si>
    <t>Took longer, about 35 seconds</t>
  </si>
  <si>
    <t>Newer Time Stamp</t>
  </si>
  <si>
    <t>Good — now let me look up the relevant regulations on project period end dates, no-cost extensions, and closeout requirements.Used ecfr integration, loaded toolsUsed ecfr integration, loaded toolsLoading toolsResultEEcfr get title versionsResultEEcfr get regulationResultEEcfr get title versionsResultEEcfr get regulationResultEEcfr get regulationResultDoneHere is a regulatory-grounded answer to your question.
What Happens When a Project Can't Finish by the End Date and a No-Cost Extension Is Denied
As of October 1, 2024 (the latest amendment to 2 CFR Part 200), the regulatory framework addresses this situation across three interconnected sections.
1. The Period of Performance Ends — Period
Per 2 CFR § 200.309, the period of performance is only modified if an extension is actually approved. If the Federal agency denies the no-cost extension request, the end date stands. No new allowable costs may be incurred after that date.
2. Closeout Obligations Kick In Immediately — 2 CFR § 200.344
Once the period of performance ends, the recipient faces firm closeout deadlines regardless of whether the work is complete:
Final reports (financial, performance, and all others required by the award) must be submitted no later than 120 calendar days after the end of the period of performance.
All financial obligations must be liquidated within that same 120-day window.
Unobligated funds must be promptly refunded to the agency — you cannot retain unexpended balances without authorization.
The agency will adjust the Federal share of costs, which may include disallowing costs or deobligating unliquidated balances.
If you fail to submit final reports, § 200.344(i) requires the Federal agency to report the material failure to comply in SAM.gov via the Contractor Performance Assessment Reporting System (CPARS). This is a significant reputational and programmatic consequence.
3. Enforcement Actions Are Available — 2 CFR § 200.339
If the recipient fails to comply with closeout requirements, the agency can pursue remedies for noncompliance, including:
Temporarily withholding payments
Disallowing costs for noncompliant activities
Suspending or terminating the award
Initiating suspension or debarment proceedings (2 CFR Part 180)
Withholding future funding for the project or program
Practical Bottom Line
A denied NCE does not give you more time — it triggers an obligation to close out. Any work not completed is simply unfinished scope, and the agency will close the award based on what was actually accomplished. Costs incurred after the end date are unallowable and subject to disallowance. The most serious downstream risk is the SAM.gov adverse performance report, which can affect your institution's ability to receive future federal funding.
Important caveats: Individual agencies may have award terms stricter than the Uniform Guidance baseline, and some programs (NIH, NSF, DOE, etc.) have their own supplemental policies. If an NCE is denied, your sponsored programs office and potentially legal counsel should be involved promptly. I'm not providing legal advice — these are the regulatory requirements as written.</t>
  </si>
  <si>
    <t xml:space="preserve">Reading the eCFR research admin skill
Reading the eCFR research admin skill
Now let me follow the skill's workflow. I'll start by getting version history for Title 2 Part 200 to find the 2022 and current amendment dates, then compare the indirect cost sections.
Get version history for 2 CFR Part 200 to find amendment dates
Get version history for 2 CFR Part 200 to find amendment dates
The MCP tools aren't accessible via bash. Let me use web search to pull the authoritative eCFR data on the Uniform Guidance indirect cost changes.
Searched the web
Searched the web
Here is a comprehensive summary of the indirect cost policy changes between the 2022 Uniform Guidance and the current 2024 revision (effective October 1, 2024 for new awards). All changes are in 2 CFR Part 200.
Indirect Cost Policy Changes: 2022 → 2024 Uniform Guidance
OMB issued the revised OMB Guidance for Federal Financial Assistance on April 22, 2024 — noted as the most significant update to the Uniform Guidance since its original release in 2013. The revised guidance applies to awards issued on or after October 1, 2024. 
Baker Tilly
1. De Minimis Rate Increased — 2 CFR § 200.414(f)
This is the most impactful indirect cost change. The de minimis indirect cost rate percentage is now 15%, increased from the prior 10%. 
US EPA
 The recipient or subrecipient may elect a de minimis rate lower than 15%, but once elected, the same rate must be used for all federal awards unless the entity obtains a Negotiated Indirect Cost Rate Agreement (NICRA). There are no specific documentation requirements needed to justify use of the de minimis rate. 
Coates' Canons
Transition note: Whether the 10% or 15% rate applies is determined on an award-by-award basis. For new direct federal awards issued on or after October 1, 2024, the 2024 revisions are presumed to apply. The 2024 revisions apply to existing awards only if explicitly mentioned in amendments after October 1, 2024. 
Clark Nuber PS
2. MTDC Subaward Cap Updated — 2 CFR § 200.1
The definition of Modified Total Direct Cost (MTDC) — the base used to calculate indirect costs — is updated to allow indirect cost recovery for each subaward up to $50,000. However, this change is not applicable to recipient institutions until the new threshold is reflected in the institution's NICRA. 
Gwu
This means institutions cannot simply apply the $50,000 cap in budgets until their next NICRA renewal explicitly incorporates it.
3. F&amp;A Terminology Removed — 2 CFR § 200.1
OMB has removed the use of the term "Facilities and Administrative (F&amp;A) cost" from the definition of Indirect Cost. However, the Uniform Guidance and many federal agencies continue to use this term, and it is expected to remain in common use interchangeably for some time. 
Gwu
4. Pass-Through Entity Obligations Clarified — 2 CFR § 200.414(d)
There is now a clarification to the requirement that pass-through entities must accept all federally negotiated indirect cost rates for subrecipients. It also clarifies that a recipient or subrecipient may notify OMB of any disputes with federal agencies regarding application of a federally negotiated indirect cost rate — however, OMB clarified it will not serve as a formal arbitrator of indirect cost rate disputes. 
Baker Tilly
5. Equipment Threshold Affecting MTDC — 2 CFR § 200.313
While not exclusively an "indirect cost" provision, this directly affects MTDC calculations. The threshold for defining equipment and other capital expenditures increased from $5,000 to $10,000. 
US EPA
 Items under $10,000 are now treated as supplies rather than equipment, which changes what is included or excluded from the MTDC base.
6. NIH-Specific Implementation Notes
NIH recognizes the updated de minimis rate of 15% for non-SBIR/STTR awards. NIH will continue to honor NICRAs negotiated prior to October 1, 2024, and cognizant agencies for indirect costs may — but are not required to — renegotiate existing NICRAs to reflect the new MTDC definition. 
Grants &amp; Funding
Practical Takeaways for Research Administrators
Change	Old Rule	New Rule (effective Oct. 1, 2024)
De minimis rate	10% of MTDC	Up to 15% of MTDC
MTDC subaward cap	$25,000 per subaward	$50,000 per subaward (requires NICRA update)
F&amp;A terminology	"F&amp;A costs" used formally	Term removed from definition; "indirect costs" preferred
Pass-through NICRA acceptance	Required	Clarified as required; dispute path to OMB added
Equipment threshold (MTDC exclusion)	$5,000	$10,000
Important caveat: The MTDC subaward cap change ($25K → $50K) requires an updated NICRA before institutions can apply it in budgets. Confirm with your cognizant federal agency whether your current rate agreement reflects the updated threshold. For specific awards or agency-level implementation questions, consult your sponsored programs office or legal counsel, as agency adoption varies.
</t>
  </si>
  <si>
    <t>Less tools accessed</t>
  </si>
  <si>
    <t>Now let me follow the skill's workflow. First, I'll get the amendment history for 2 CFR Part 200 to identify valid dates for comparison, then compare indirect cost-related sections between the 2022 version and current.
Searched the web, ran a command
Searched the web, ran a command
Here is a detailed breakdown of the indirect cost policy changes between the 2022 Uniform Guidance and the current version (the 2024 Revision, published April 22, 2024 at 89 FR 30136, effective for federal awards issued on or after October 1, 2024):
Indirect Cost Policy Changes: 2022 vs. 2024 Uniform Guidance (2 CFR Part 200)
1. De Minimis Rate Increase — § 200.414(f)
This is the most operationally significant change. The de minimis indirect cost rate was increased from 10% to 15% of Modified Total Direct Costs (MTDC), per 2 CFR § 200.414(f). 
National Endowment for the Humanities
Key implementation details:
Recipients and subrecipients without a current federal negotiated indirect cost rate (including a provisional rate) may elect to charge up to 15% of MTDC. The recipient or subrecipient is authorized to determine the appropriate rate up to this ceiling. Federal agencies and pass-through entities may not require recipients to use a rate lower than the elected rate unless required by federal statute or regulation. 
eCFR
The 2024 revision clarified in § 200.414(c)(1) that recipients and subrecipients have an affirmative right to negotiate a rate rather than use the de minimis rate. Pass-through entities are now explicitly required to accept all federally negotiated indirect cost rates for subrecipients per § 200.414(d). 
CapinCrouse
If a lower rate is required by statute for a specific award or program, that statutory cap continues to apply. 
Capitaledgeconsulting
The transition is award-specific: the 10% rate must be applied through September 30, 2024, and — if approved by the federal agency with a revised budget — the rate can increase to 15% for costs incurred on or after October 1, 2024. This change cannot be applied retroactively. 
Clark Nuber PS
2. MTDC Definition Change — § 200.1 (Subaward Exclusion Threshold)
The threshold for excluding subaward costs from the MTDC base was increased from $25,000 to $50,000 per subaward, if established in the Negotiated Indirect Cost Rate Agreement (NICRA) prior to award. 
National Endowment for the Humanities
This means the indirect cost base is now larger for organizations that apply a negotiated rate, since a greater portion of each subaward is included in MTDC before the $50,000 exclusion kicks in. However, existing negotiated rates remain in place until they expire, and must continue to use the prior $25,000 MTDC threshold until a new rate is negotiated. Institutions cannot automatically apply the new base to an existing predetermined or fixed rate. 
Attain Partners
NIH's implementation clarifies this point: for applicants and recipients to apply the increased $50,000 subaward threshold, they must have a current NICRA that explicitly cites the updated threshold amount. 
Grants &amp; Funding
3. Existing NICRAs — Transition and Renegotiation
NICRAs negotiated prior to October 1, 2024, must continue to be honored by both federal agencies and recipients. However, cognizant agencies for indirect costs may — but are not required to — renegotiate existing NICRAs to reflect the new MTDC base. 
NSF - National Science Foundation
Per § 200.110(b), existing negotiated indirect cost rates remain in place until they expire. The existing rates are to be applied against the prior MTDC base (without the new threshold increases) until new rates are established. 
Attain Partners
4. Four-Year One-Time Rate Extension — § 200.414(g)
The 2024 revision added a new provision allowing a recipient or subrecipient with a current federal negotiated indirect cost rate to apply for a one-time extension of that agreement for up to four years. This extension is subject to review and approval by the cognizant agency for indirect costs. If granted, the recipient may not request a rate review until the extension period ends, and must re-apply to negotiate a new rate when the extension expires. 
eCFR
Note: only one extension (up to four years) of a current negotiated rate may be granted. Fixed-rate with carry-forward agreements are not eligible for extension under this provision. 
U.S. Department of Labor
5. Pass-Through Entity Obligations — § 200.332 / § 200.414(d)
The 2024 revision added an explicit requirement at § 200.414(d) that pass-through entities must accept all federally negotiated indirect cost rates for subrecipients. 
Legal Information Institute
 This was a clarification of prior policy but is now an express regulatory mandate. A pass-through entity that refuses to honor a subrecipient's negotiated rate may be subject to the remedies for non-compliance specified in § 200.339. 
U.S. Department of Labor
6. Prior Approval Requirements for Indirect Cost Changes
The 2024 revisions also removed certain prior written approval requirements for costs under Subpart E (Cost Principles), per § 200.407 
CapinCrouse
, which can affect how organizations manage the indirect/direct cost boundary without seeking agency approval for each adjustment.
Summary Table
Issue	2022 Version	2024 Current Version
De minimis rate	10% of MTDC	Up to 15% of MTDC (recipient's choice)
Subaward exclusion from MTDC	First $25,000 per subaward	First $50,000 per subaward (if in NICRA)
Rate extension option	Not available	One-time extension up to 4 years (§ 200.414(g))
Pass-through acceptance of NICRAs	General requirement	Explicit mandate; noncompliance subject to § 200.339 remedies
Right to negotiate vs. use de minimis	Implicit	Explicitly stated in § 200.414(c)(1)
Important caveats: The regulations are at the applicable-date level — awards issued before October 1, 2024 generally remain under the prior version unless the awarding agency explicitly applied the revisions via amendment. Always confirm with your sponsored programs office and your cognizant agency for indirect costs before renegotiating a rate or switching to the 15% de minimis, as individual agency implementation policies (NIH, NSF, DOE, etc.) may impose additional conditions.</t>
  </si>
  <si>
    <t>Now let me follow the skill's workflow — first get version history to find the 2022 amendment date and the current amendment date, then compare.
Get title versions for 2 CFR Part 200 to find amendment dates
Get title versions for 2 CFR Part 200 to find amendment dates
I'll use the eCFR MCP tools directly. Let me get the version history for 2 CFR Part 200 to identify the 2022 and current amendment dates, then compare the indirect cost sections.
Searched the web, ran a command
Searched the web, ran a command
Here is a detailed comparison of the indirect cost policy changes between the 2022 version of the Uniform Guidance (2 CFR Part 200) and the current 2024 revision (effective October 1, 2024, published at 89 FR 30136, Apr. 22, 2024).
Indirect Cost Policy Changes: 2022 vs. 2024 Uniform Guidance (2 CFR Part 200)
Important framing note: The 2022 version was not itself a revision year — it reflected the 2020 amendment (85 FR 49506). The most recent revision is the 2024 Final Rule (effective October 1, 2024), so this comparison is 2020/2022-era text versus the current 2024 text.
1. De Minimis Indirect Cost Rate — § 200.414(f)
This is the most significant indirect cost change. The 2024 rewrite increased the de minimis indirect cost rate from 10% to 15% of Modified Total Direct Costs (MTDC), while still permitting an election of a lower rate. 
BRG
Under current § 200.414(f), recipients and subrecipients that do not have a current federally negotiated indirect cost rate (including a provisional rate) may elect to charge a de minimis rate of up to 15% of MTDC. The recipient or subrecipient is authorized to determine the appropriate rate up to this limit. Federal agencies and pass-through entities may not require recipients and subrecipients to use a de minimis rate lower than the negotiated indirect cost rate or the rate elected pursuant to this subsection, unless required by Federal statute or regulation. 
eCFR
For transition: NICRAs negotiated prior to October 1, 2024 must continue to be honored by both federal agencies and recipients; however, cognizant agencies for indirect costs may — but are not required to — renegotiate existing NICRAs to reflect the new MTDC base. OMB encourages cognizant agencies to accommodate requests to renegotiate NICRAs that are in effect beyond October 1, 2025. 
Schneider Downs
2. Modified Total Direct Cost (MTDC) Definition — § 200.1
The subaward cap used in computing the MTDC base (which is what indirect rates are applied to) was doubled. The 2024 revision revised the definition of MTDC to increase the value of each subaward that can be included in MTDC from $25,000 to $50,000. 
BRG
In practice this means organizations can now recover indirect costs on the first $50,000 of each subaward (up from $25,000), increasing overall indirect cost reimbursement on subawarded projects.
The timing of when this will take effect varies by institution, as it is tied to when the institution negotiates its next F&amp;A rate or obtains special permission to adjust its MTDC base from the federal agency handling its indirect cost negotiation. Existing NICRAs must be honored. 
Cogr
3. Indirect Cost Rate Disputes — § 200.414
The 2024 revision added new language indicating that recipients and subrecipients may notify OMB of indirect cost rate disputes. The guidance also clarifies that OMB is not a formal arbiter of indirect rate disputes. 
Institute of Museum and Library Services
 Additionally, pass-through entities must accept all federally negotiated indirect cost rates for subrecipients. 
Institute of Museum and Library Services
4. Equipment Capitalization Threshold — Indirect Impact on MTDC
While not directly an indirect cost rule, this change affects the MTDC base. The threshold for defining equipment and other capital expenditures increased to $10,000 (from $5,000). 
US EPA
 Because equipment is excluded from MTDC, raising this threshold means more items previously excluded as "equipment" are now counted as supplies and included in MTDC — potentially increasing the base on which indirect rates are applied.
5. Effective Date and Transition Rules — § 200.110
Existing negotiated indirect cost rates will remain in place until they expire. The effective date of changes to indirect cost rates must be based upon the date a newly re-negotiated rate goes into effect for the recipient's or subrecipient's fiscal year. Therefore, for indirect cost rates and cost allocation plans, the 2024 revisions become effective in generating proposals and negotiating a new rate when the rate is re-negotiated. 
eCFR
Summary Table
Policy Area	Pre-2024 (2022 text)	2024 Current Text	Citation
De minimis indirect rate	10% of MTDC	Up to 15% of MTDC	§ 200.414(f)
MTDC subaward cap	First $25,000 per subaward	First $50,000 per subaward	§ 200.1
Indirect rate disputes	Silent on OMB role	Recipients may notify OMB; OMB not a formal arbiter	§ 200.414
Pass-through entity obligation	Accepted negotiated rates	Must accept all federally negotiated rates for subrecipients	§ 200.414
Equipment threshold (MTDC impact)	$5,000	$10,000	§ 200.1
Practical compliance note: The 2024 changes apply on an award-by-award basis tied to the October 1, 2024 effective date. The ability to use the new de minimis rate depends on whether the 2024 revisions are effective for the specific federal award being managed — a determination made on an award-by-award basis. 
Clark Nuber PS
 You should verify current applicability with your cognizant agency for indirect costs and legal or compliance counsel before adjusting rates or MTDC bases on existing awards.</t>
  </si>
  <si>
    <t>Now I'll follow the workflow for a change comparison question. Let me first get the amendment history for 2 CFR Part 200, then identify the relevant dates and compare.Get title versions for 2 CFR Part 200 to find amendment datesGet title versions for 2 CFR Part 200 to find amendment datesI'll use web search to find the specific indirect cost policy changes in the 2024 Uniform Guidance revision, since the eCFR MCP tools aren't available in this session.Searched the webSearched the webHere is a comprehensive summary of the indirect cost policy changes between the 2022 Uniform Guidance and the current (2024) revision to 2 CFR Part 200, effective for awards issued on or after October 1, 2024.
Indirect Cost Policy Changes: 2022 → 2024 Uniform Guidance (2 CFR Part 200)
OMB issued its most significant overhaul of the Uniform Guidance since its 2013 origin on April 22, 2024, with the revised rule effective October 1, 2024. Here are the key indirect cost changes by section:
1. De Minimis Rate Increase — § 200.414(f)
Before: 10% of MTDC
Now: Up to 15% of MTDC
Under the current rule, recipients and subrecipients without a current federal negotiated indirect cost rate (including a provisional rate) may elect to charge a de minimis rate of up to 15% of MTDC. The recipient or subrecipient is authorized to determine the appropriate rate up to this limit, and federal agencies and pass-through entities may not require them to use a rate lower than elected. eCFR
Transition note: For new direct federal awards issued on or after October 1, 2024, the 2024 revisions are presumed to apply. For existing awards, the revised de minimis rate only applies if explicitly mentioned in amendments after October 1, 2024. Clark Nuber PS
Government entity limitation: The 2024 revisions did not extend the 15% de minimis rate to governmental departments or agencies receiving more than $35 million in direct federal funding per year — those entities must still submit an indirect cost rate proposal to their cognizant agency. U.S. Department of Labor
2. MTDC Subaward Threshold — § 200.1 (Definition)
Before: Subaward costs includable in MTDC up to first $25,000 per subaward
Now: Up to the first $50,000 of each subaward
The threshold for excluding subaward costs from the MTDC base was increased from $25,000 to $50,000, if established in the Negotiated Indirect Cost Rate Agreement (NICRA) prior to award. National Endowment for the Humanities
NIH recognizes the updated MTDC definition to include up to the first $50,000 of each subaward. For applicants and recipients to apply the increased threshold, they must have a current NICRA that cites the updated threshold amount. Grants &amp; Funding
3. Terminology: Removal of "F&amp;A" from Indirect Cost Definition
OMB removed the use of the term "Facilities and Administrative (F&amp;A) cost" from the definition of Indirect Cost, though the Uniform Guidance and many federal agencies continue to use this term interchangeably. Gwu This is a terminology clarification rather than a substantive policy shift, but institutions should begin updating internal policies accordingly.
4. Acceptance of Negotiated Rates by Pass-Through Entities — § 200.414(d)
The 2024 revision includes a clarification to the requirement that pass-through entities must accept all federally negotiated indirect cost rates for subrecipients. It also clarifies that a recipient or subrecipient may notify OMB of any disputes with federal agencies regarding the application of a federally negotiated indirect cost rate — though OMB clarified it will not serve as a formal arbitrator of indirect cost rate disputes. Baker Tilly
5. One-Time Rate Extension — § 200.414(g)
This provision was clarified in the 2024 revision. A recipient or subrecipient with a current federal negotiated indirect cost rate may apply for a one-time extension of that agreement for up to four years, subject to review and approval by the cognizant agency. If granted, the recipient may not request a rate review until the extension period ends. eCFR
Only one extension (up to four years) of a recipient's current negotiated rate may be granted. A fixed-rate with carry-forward agreement cannot be extended under this provision. U.S. Department of Labor
6. Existing NICRAs — Transition Rules
Cognizant agencies for indirect costs may, but are not required to, renegotiate existing NICRAs to reflect the new MTDC base. OMB has encouraged cognizant agencies to accommodate requests to renegotiate existing NICRAs that are in effect beyond October 1, 2025. Grants &amp; Funding
7. Equipment Threshold Affecting MTDC Base — § 200.313
Though not strictly an "indirect cost" section, this change directly affects MTDC calculations. The threshold for determining equipment was increased from $5,000 to $10,000 per unit, and the upper limit for computers as supplies also moved from $5,000 to $10,000. National Endowment for the Humanities Since equipment is excluded from MTDC, raising this threshold means more items now qualify as supplies and remain in the MTDC base, potentially increasing indirect cost recovery.
Practical Bottom Line for Research Administrators
Area2022 Rule2024 RuleDe minimis rate10% MTDCUp to 15% MTDCMTDC subaward cap$25,000/subaward$50,000/subawardEquipment threshold (MTDC exclusion)$5,000$10,000F&amp;A terminologyUsed in definitionRemoved from definitionRate extensionExisting provisionClarified 4-year max, one-time onlyDispute resolutionLess explicitRecipient may notify OMB; OMB not arbitrator
Important caveat: Higher MTDC thresholds (the $50,000 subaward cap and the equipment floor) only take effect for institutions once reflected in an updated NICRA. If your institution's current rate agreement still cites the old thresholds, you must wait until your next NICRA negotiation to apply them. Always verify with your cognizant agency and institutional compliance office before applying the new thresholds to budgets.</t>
  </si>
  <si>
    <t>Now let me follow the skill workflow. First I'll get the version history for Title 2, Part 200 to identify the amendment dates around 2022 and current, then compare the indirect cost sections.
Get version history for 2 CFR Part 200 to identify amendment dates
Get version history for 2 CFR Part 200 to identify amendment dates
I'll use the eCFR MCP tools directly to research this. Let me fetch the version history and then compare the indirect cost provisions.
Searched the web
Searched the web
Here is a comprehensive breakdown of the indirect cost policy changes between the 2022 Uniform Guidance and the current (2024) revision to 2 CFR Part 200. The 2024 revision was finalized on April 22, 2024, and became effective for awards issued on or after October 1, 2024.
Indirect Cost Policy Changes: 2022 vs. 2024 Uniform Guidance (2 CFR Part 200)
1. De Minimis Indirect Cost Rate — § 200.414(f)
This is the most significant and widely felt indirect cost change.
Old rule (2022): Organizations without a federally negotiated indirect cost rate could elect a flat de minimis rate of 10% of MTDC.
New rule (2024): Recipients and subrecipients that do not have a current federal negotiated indirect cost rate may elect to charge a de minimis rate of up to 15% of MTDC. The recipient or subrecipient is authorized to determine the appropriate rate up to this limit. Federal agencies and pass-through entities may not require recipients and subrecipients to use a rate lower than the negotiated indirect cost rate or the rate elected under this subsection unless required by federal statute or regulation. 
eCFR
This is a floor-to-ceiling shift — the new rate is not a fixed 15% but rather a cap, giving organizations flexibility to set their own rate up to 15%.
Agency-specific note: NIH recognizes the updated de minimis indirect cost rate of 15% for non-SBIR/STTR awards. Any non-federal entity, including for-profit organizations, that does not have a current negotiated indirect cost rate may elect to charge a de minimis rate of 15% of MTDC, which may be used indefinitely. 
Grants &amp; Funding
2. Modified Total Direct Cost (MTDC) Base — § 200.1 Definition
Old rule (2022): Only the first $25,000 of each subaward was included in the MTDC base (i.e., subject to indirect cost recovery).
New rule (2024): The threshold for excluding subaward costs from the MTDC base has increased from $25,000 to $50,000, if established in the institution's Negotiated Indirect Cost Rate Agreement (NICRA) prior to award. 
National Endowment for the Humanities
This means institutions can now recover indirect costs on a larger portion of each subaward — but critically, this change is not applicable to recipient institutions until the updated definition is reflected in the institution's NICRA. 
Boise State University
3. Removal of "Facilities and Administrative (F&amp;A)" Terminology
Old rule (2022): The Uniform Guidance used "Facilities and Administrative (F&amp;A) costs" interchangeably with indirect costs throughout.
New rule (2024): OMB has removed the use of the term "Facilities and Administrative (F&amp;A) cost" from the definition of Indirect Cost. However, the Uniform Guidance and many federal agencies continue to use this term. 
Gwu
In practice, F&amp;A and indirect costs will continue to be used interchangeably for some time, but the regulatory language has shifted toward "indirect costs" as the standard term.
4. Existing NICRA Protections — § 200.110(b)
This provision was clarified, not fundamentally changed, but its practical implications are important.
Section 200.110(b) clearly states that "existing negotiated indirect cost rates will remain in place until they expire." The existing negotiated rates are to be used on the current modified total direct cost bases (without the threshold increases) until new rates are established. 
Attain Partners
This means institutions cannot unilaterally switch to the new $50,000 MTDC subaward threshold or otherwise adjust their indirect cost calculations mid-agreement — those changes flow in only with a renegotiated NICRA.
5. Pass-Through Entity Flexibility for Subrecipients
Old rule (2022): Pass-through entities could approve a de minimis rate of up to 10% of MTDC for subrecipients without a negotiated rate.
New rule (2024): Pass-through entities can approve an indirect cost rate of up to 15% for subrecipient organizations that do not have a federally negotiated indirect cost rate, allowing subrecipients such as nonprofits and small businesses to increase their cost recovery. 
Usc
6. Equipment and Supplies Thresholds (Indirect Effect on MTDC)
While not purely an indirect cost rule, equipment capitalization and supplies thresholds directly affect what goes into the MTDC base:
The threshold for determining equipment increased from a per-unit cost of $5,000 to $10,000, the upper limit for computers as supplies increased from $5,000 to $10,000, and the threshold for reporting unused supplies increased from an aggregate value of greater than $5,000 to $10,000. 
National Endowment for the Humanities
Because equipment is excluded from the MTDC base, raising the equipment threshold means more costs now remain in MTDC — potentially increasing recoverable indirect costs.
Key Transition Considerations
The 2024 revision has four different effective dates depending on the type of change. For indirect costs specifically:
The 15% de minimis rate applies to new awards issued on or after October 1, 2024, and may apply to existing award amendments if the federal agency explicitly allows it.
The $50,000 MTDC subaward threshold does not apply until it is reflected in a new or renegotiated NICRA — even for awards issued after October 1, 2024.
The effective date transition related to the 10% or up to 15% de minimis rates also applies to the 2024 revisions to MTDC thresholds — i.e., when the 2024 revisions apply, the revised MTDC definition must also be used. 
Clark Nuber PS
Bottom line for research administrators: The most operationally immediate change is the de minimis rate increase to up to 15% for subrecipients and entities without a NICRA. The MTDC subaward threshold increase to $50,000 — which could meaningfully raise indirect recovery for institutions with large consortium grants — requires patience; it won't take effect until your next NICRA negotiation. Always verify agency-specific implementation notices (NIH, NSF, etc.) as agencies vary in how and when they adopted each provision.
As always, this analysis is based on regulatory text and should be reviewed against your institution's NICRA, award terms, and legal/compliance counsel for specific situations.</t>
  </si>
  <si>
    <t xml:space="preserve">Now let me follow the skill's workflow. I'll start by getting the version history for 2 CFR Part 200 to identify the 2022 and current amendment dates, then compare key indirect cost sections.
Searched the web, ran a command
Searched the web, ran a command
Here is a comprehensive summary of the indirect cost policy changes between the 2022 Uniform Guidance and the current (2024) revision to 2 CFR Part 200. The 2024 revision was finalized by OMB on April 22, 2024 and took effect for new awards on or after October 1, 2024.
Indirect Cost Policy Changes: 2022 vs. 2024 Uniform Guidance (2 CFR Part 200)
On April 22, 2024, OMB issued the revised OMB Guidance for Federal Financial Assistance — described as the most significant update to the Uniform Guidance since its 2013 release. 
Baker Tilly
 Here are the specific indirect cost changes:
1. De Minimis Indirect Cost Rate — §200.414(f)
Old rate: 10% of MTDC New rate: Up to 15% of MTDC
The de minimis indirect cost rate was increased from 10% to 15% of Modified Total Direct Costs. 
National Endowment for the Humanities
 The ability to use the new rate depends on whether the 2024 Revisions are effective for the specific federal award being managed — a determination made on an award-by-award basis. 
Clark Nuber PS
 No documentation is required to justify the de minimis rate, and once elected, it must be used consistently for all Federal awards until the entity chooses to negotiate a rate. 
USDA
2. Modified Total Direct Cost (MTDC) Base — §200.1
Old subaward threshold: First $25,000 of each subaward included in the MTDC base New subaward threshold: First $50,000 of each subaward
The threshold for excluding subaward costs from the MTDC base increased from $25,000 to $50,000, provided this is established in the Negotiated Indirect Cost Rate Agreement (NICRA) prior to the award. 
National Endowment for the Humanities
 This means institutions can recover indirect costs on a larger portion of each subaward. This change is not applicable to recipient institutions until the updated threshold is reflected in the institution's NICRA. 
Boise State University
3. Removal of "F&amp;A" Terminology from Indirect Cost Definition
OMB removed the use of the term "Facilities and Administrative (F&amp;A) cost" from the definition of Indirect Cost, though the Uniform Guidance and many federal agencies continue to use this term. 
Gwu
4. Pass-Through Entity Acceptance of Negotiated Rates — §200.414(d)
The 2024 revision added clarification that pass-through entities must accept all federally negotiated indirect cost rates for subrecipients. 
Baker Tilly
 It also clarified that a recipient or subrecipient may notify OMB of disputes with Federal agencies regarding the application of a federally negotiated indirect cost rate, though OMB will not serve as a formal arbitrator of such disputes.
5. Transition Rules for Existing NICRAs
Negotiated Indirect Cost Rate Agreements negotiated prior to October 1, 2024 remain in place and must continue to be honored. Cognizant agencies for indirect costs may, but are not required to, renegotiate existing NICRAs to reflect the new MTDC base. 
Grants &amp; Funding
 OMB encouraged agencies to accommodate renegotiation requests for NICRAs in effect beyond October 1, 2025.
6. Equipment Threshold Change (Affects MTDC Exclusions)
The threshold for determining equipment increased from a per-unit cost of $5,000 to $10,000. 
National Endowment for the Humanities
 Since equipment is excluded from the MTDC base, this change affects the composition of the indirect cost base — more items previously classified as equipment may now qualify as supplies and be includable in MTDC.
Practical Applicability Summary
Change	Prior Rule	Current Rule (Oct. 1, 2024+)
De minimis rate	10% of MTDC	Up to 15% of MTDC
MTDC subaward cap	$25,000/subaward	$50,000/subaward
Equipment threshold (MTDC exclusion)	$5,000	$10,000
F&amp;A terminology	Used in definition	Removed from definition
PTE acceptance of negotiated rates	Less explicit	Explicitly required
Important caveat: The MTDC and NICRA-tied changes (subaward threshold, equipment threshold) require the new amounts to be reflected in your institution's NICRA before they can be applied. Always verify with your sponsored programs or compliance office, as agency-specific implementation (NIH, NSF, EPA, etc.) may impose additional conditions. I am not a lawyer; institutions should consult legal counsel for award-specific interpretations.
</t>
  </si>
  <si>
    <t>Now let me look up the version history for 2 CFR Part 200 to identify the relevant amendment dates, then compare the indirect cost sections.Check available MCP toolsCheck available MCP toolsI don't have direct MCP tool access from the bash environment. Let me use web search to get authoritative information about the 2024 Uniform Guidance revision changes to indirect costs, then cross-reference with the eCFR.Searched the webSearched the webHere is a comprehensive breakdown of the indirect cost policy changes between the 2022 version of the Uniform Guidance (2 CFR Part 200) and the current 2024 revision, which took effect October 1, 2024:
Indirect Cost Policy Changes: 2022 vs. 2024 Uniform Guidance (2 CFR Part 200)
1. De Minimis Indirect Cost Rate — § 200.414(f)
This is the most impactful change for many organizations.
2022 version: Fixed de minimis rate of 10% of MTDC for entities without a current NICRA.
2024 revision: Increased to up to 15% of MTDC. Recipients and subrecipients that do not have a current Federal negotiated indirect cost rate (including provisional rate) may elect to charge a de minimis rate of up to 15 percent of MTDC. The recipient or subrecipient is authorized to determine the appropriate rate up to this limit. Federal agencies and pass-through entities may not require recipients and subrecipients to use a de minimis rate lower than the negotiated indirect cost rate or the rate elected pursuant to this subsection, unless required by Federal statute or regulation. eCFR
Practical note: Recipients and subrecipients that want to move to the 15% rate must amend the award budget to decrease the direct costs and increase the indirect costs, and must receive the federal agency's approval before applying the higher rate. This change cannot be applied retroactively — the 10% rate must be applied through September 30, 2024. CapinCrouse
2. MTDC Definition (Subaward Cap) — § 200.1
This change affects the base on which indirect costs are calculated.
2022 version: Only the first $25,000 of each subaward was included in MTDC.
2024 revision: MTDC now includes up to the first $50,000 of each subaward (regardless of the period of performance of the subawards under the award). MTDC excludes equipment, capital expenditures, charges for patient care, rental costs, tuition remission, scholarships and fellowships, participant support costs, and the portion of each subaward in excess of $50,000. eCFR
Important transition note: NICRAs negotiated prior to October 1, 2024 must continue to be honored by both federal agencies and recipients. Cognizant agencies for indirect costs may — but are not required to — renegotiate existing NICRAs to reflect the new MTDC base. NSF - National Science Foundation Institutions cannot implement the $50,000 threshold until their new NICRA reflects it.
3. Federal Agency Acceptance of NICRAs — § 200.414(c)
2022 version: Agencies were required to accept NICRAs, with limited deviation authority.
2024 revision: Federal agencies must accept a recipient's NICRA unless a different rate is required by Federal statute or regulation for a class of Federal awards or a single Federal award, or when approved by a Federal awarding agency head or delegate through the deviation process. A pass-through entity (PTE) must also accept a subrecipient's Federally negotiated indirect cost rate unless a different rate is required by Federal statute, regulation, or by a deviation approved in accordance with § 200.414(c). US EPA This tightens the standards for when an agency can deviate from a negotiated rate.
Additionally, the 2024 revision clarified in § 200.414(c)(1) that recipients and subrecipients have the right to negotiate a rate rather than use the de minimis rate, and § 200.414(d) now explicitly states that pass-through entities must accept all federally negotiated indirect cost rates for subrecipients. CapinCrouse
4. Indirect Cost Definition / F&amp;A Terminology — § 200.1
2024 revision: OMB removed the use of the term "Facilities and Administrative (F&amp;A) cost" from the definition of Indirect Cost. However, the Uniform Guidance and many federal agencies continue to use this term. Gwu The terms will likely be used interchangeably for some time during the transition.
5. Indirect Costs for Pass-Through Entities and Subrecipients — § 200.332 / § 200.414(d)
2024 revision: Pass-through entities can approve an indirect cost rate of up to 15% (previously 10%) for subrecipient organizations that do not have a federally negotiated indirect cost rate, allowing subrecipients (such as nonprofits and small businesses) to increase their cost recovery. Usc
6. Equipment Threshold (Affects MTDC Base) — § 200.313
While not strictly an indirect cost section, this change directly affects indirect cost calculations:
2022 version: Equipment threshold was $5,000.
2024 revision: The threshold for determining equipment increased from $5,000 to $10,000 per unit cost, meaning items costing $9,999 or less can be treated as supplies and included in the MTDC base. National Endowment for the Humanities This can increase the indirect cost recovery base for organizations.
Summary Table
Policy Area2022 Version2024 RevisionDe minimis indirect rate10% of MTDCUp to 15% of MTDCSubaward cap in MTDCFirst $25,000First $50,000Equipment excluded from MTDC≥$5,000 per unit≥$10,000 per unitF&amp;A / Indirect Cost terminology"F&amp;A" used throughout"Indirect Cost" preferred; F&amp;A retained by many agenciesPTE obligation to accept NICRARequiredStrengthened / explicitly codifiedRecipient right to negotiate NICRAImpliedExplicitly clarified
Effective date caveat: The 2024 revisions apply to projects that start on or after October 1, 2024. Current recipients should work with their Grant Specialists and Project Officers to understand when and if their current projects are affected. US EPA For indirect cost rates specifically, existing negotiated indirect cost rates will remain in place until they expire, and the effective date of changes to indirect cost rates must be based upon the date a newly re-negotiated rate goes into effect for the recipient's or subrecipient's fiscal year. eCFR
If you'd like, I can pull the exact current regulatory text from the eCFR for any of these sections (§ 200.414, § 200.1 MTDC definition, or the appendices) to confirm precise language for compliance purposes.</t>
  </si>
  <si>
    <t>Now let me follow the skill's workflow. I'll start by getting the version history for 2 CFR Part 200 to identify amendment dates, then compare key indirect cost sections.Get version history for 2 CFR Part 200 to identify amendment datesGet version history for 2 CFR Part 200 to identify amendment datesLet me use the eCFR MCP tools directly:Searched the webSearched the webHere is a comprehensive summary of the indirect cost policy changes between the 2022 (pre-revision) Uniform Guidance and the current 2024 revision to 2 CFR Part 200, effective October 1, 2024. All citations refer to the current eCFR and authoritative federal agency guidance.
Indirect Cost Policy Changes: 2022 Uniform Guidance → 2024 Revision (2 CFR Part 200)
1. De Minimis Rate: 10% → Up to 15% (§ 200.414(f))
This is the most significant and broadly applicable change. The de minimis indirect cost rate increased from 10% to 15% of Modified Total Direct Costs (MTDC), per 2 CFR § 200.414(f). National Endowment for the Humanities Under the prior 2022 version, 10% was the fixed ceiling; now, recipients and subrecipients that do not have a current federal negotiated indirect cost rate (including a provisional rate) may elect to charge a de minimis rate of up to 15% of MTDC, and the recipient or subrecipient is authorized to determine the appropriate rate up to that limit. eCFR The rate remains self-certifying — it does not require documentation to justify its use and may be used indefinitely. eCFR
Importantly, federal agencies and pass-through entities may not require recipients and subrecipients to use a de minimis rate lower than the negotiated indirect cost rate or the rate elected under this subsection, unless required by Federal statute or regulation. Legal Information Institute
Practical note on transition: The ability to use the new de minimis rate depends on whether the 2024 revisions are effective for the federal award being managed — a determination made on an award-by-award basis. Clark Nuber PS A NICRA must expire before an organization can switch to the de minimis rate.
2. Modified Total Direct Cost (MTDC) Base: Subaward Cap $25,000 → $50,000 (§ 200.1)
The MTDC definition — which forms the base on which indirect costs are calculated — was revised. Up to the first $50,000 of each subaward will now be included in the MTDC base US EPA, up from the prior $25,000 cap. This expands the base on which indirect costs are applied for pass-through subawards.
However, existing negotiated indirect cost rates must continue to be used on the current (old) MTDC bases until new rates are established, as § 200.110(b) clearly states that "existing negotiated indirect cost rates will remain in place until they expire." Attain Partners The threshold changes to MTDC only take effect upon NICRA renegotiation.
For NIH specifically: the updated MTDC definition is recognized to include up to the first $50,000 of each subaward, but recipients must have a current NICRA that cites the updated threshold amount in order to apply it. Grants &amp; Funding
3. MTDC Base: Equipment Exclusion Threshold $5,000 → $10,000 (§ 200.313 / § 200.1)
The capitalization threshold for equipment increased from $5,000 to $10,000, meaning items costing $9,999 or less can now be treated as supplies and materials and included in the MTDC base. US EPA This effectively broadens the indirect cost base, as more items qualify as supplies rather than excluded equipment.
As with the subaward cap change, this threshold change is linked to the NICRA cycle — institutions cannot apply the new threshold until it is reflected in their rate agreement.
4. Federal Agency Acceptance of NICRAs — Deviation Process Tightened (§ 200.414(c))
Federal agencies must accept a recipient's NICRA unless a different rate is required by federal statute or regulation for a class of federal awards or a single federal award, or when approved by the awarding federal agency head or delegate through the deviation process in 2 CFR 200.414(c). US EPA The 2024 revision reinforced and clarified these requirements, including:
The federal agency must notify OMB of any approved deviations, and the recipient or subrecipient may notify OMB of any disputes with federal agencies regarding the application of a federally negotiated rate. eCFR
The federal agency must implement and make publicly available the policies, procedures, and general decision-making criteria their programs will follow to seek and justify deviations from negotiated rates. eCFR
5. Pass-Through Entity (PTE) Obligations (§ 200.332 / § 200.414(d))
Pass-through entities are subject to the requirements in § 200.332(b)(4) and must accept all federally negotiated indirect cost rates for subrecipients. Legal Information Institute The 2024 revision reinforced that a PTE cannot unilaterally impose a lower rate on a subrecipient with a valid NICRA without a deviation approved per § 200.414(c).
Pass-through entities can approve an indirect cost rate of up to 15% (previously 10%) for subrecipient organizations that do not have a federally negotiated indirect cost rate. Usc
6. Terminology: "F&amp;A Costs" Terminology Removed from Definition (§ 200.1)
OMB removed the use of the term "Facilities and Administrative (F&amp;A) cost" from the definition of Indirect Cost in § 200.1; however, the Uniform Guidance and many federal agencies continue to use this term. Gwu This is a definitional clarification rather than a substantive policy change, but it may affect internal policy documents, rate agreements, and NOFO language going forward.
7. One-Time Rate Extension (§ 200.414(g)) — Unchanged but Now More Prominent
The one-time extension provision was carried forward without substantive change: a recipient or subrecipient with a current federal negotiated indirect cost rate may apply for a one-time extension of that agreement for up to four years, subject to review and approval by the cognizant agency for indirect costs. If granted, the recipient may not request a rate review until the extension ends, and must re-apply to negotiate a new rate when it does. eCFR
Transition / Effective Date Considerations
From a grantee's perspective, there are four different effective dates depending on the nature of the changes: administrative changes (October 1, 2024), financial/cost threshold changes (first fiscal year starting after October 1, 2024), indirect cost rate and reimbursement changes (upon next NICRA negotiation), and clarifications of current policy (immediate). Attain Partners
For indirect cost rates and cost allocation plans specifically, the revisions become effective when generating proposals and negotiating a new rate — i.e., when the rate is re-negotiated. eCFR
Bottom line for research administrators: The most immediately actionable changes are the de minimis rate increase to 15% (applicable now on awards governed by the 2024 revision) and the expanded MTDC subaward cap to $50,000 (applicable upon NICRA renegotiation). Institutions with active NICRAs should monitor their renewal timelines closely, as the new MTDC base won't flow through until a renegotiated agreement is in place. Always verify the award's applicable version of the Uniform Guidance before applying the new thresholds. Consult your sponsored programs or compliance office for institution-specific implementation guidance.</t>
  </si>
  <si>
    <t>Now let me follow the skill's workflow — first get version history to identify the 2022 date and current date, then compare the key indirect cost sections.
Get version history for 2 CFR Part 200 to identify amendment dates
Get version history for 2 CFR Part 200 to identify amendment dates
I'll use web search to look up the specific 2024 Uniform Guidance revision changes to indirect cost policy, since the eCFR MCP tools aren't directly accessible via bash. Let me pull authoritative sources.
Searched the web
Searched the web
Here is a comprehensive summary of the indirect cost policy changes between the pre-2024 (2022-era) Uniform Guidance and the current 2024 revision to 2 CFR Part 200, which took effect for awards issued on or after October 1, 2024.
Indirect Cost Policy Changes: 2022 vs. 2024 Uniform Guidance (2 CFR Part 200)
OMB issued the revised Guidance for Federal Financial Assistance on April 22, 2024, described as the most significant update to the Uniform Guidance since its original release in 2013. 
Baker Tilly
 Here are the specific indirect cost changes:
1. De Minimis Rate Increase — § 200.414(f)
This is the most impactful change for organizations without a NICRA.
The de minimis indirect cost rate increased from 10% to 15% of Modified Total Direct Costs (MTDC). The ability to use the new rate depends on whether the 2024 revisions are effective for the specific federal award being managed — a determination made on an award-by-award basis. 
Clark Nuber PS
Any entity that does not have a current NICRA (including a provisional rate) and has received less than $35 million in direct federal funding for the fiscal year requested may elect to charge the 15% de minimis rate. No documentation is required to justify the de minimis indirect cost rate. 
USDA
Pass-through entity implications: Pass-through entities can now approve an indirect cost rate of up to 15% (previously 10%) for subrecipient organizations that do not have a federally negotiated indirect cost rate, allowing subrecipients such as nonprofits and small businesses to increase their cost recovery. 
Usc
2. Modified Total Direct Costs (MTDC) Definition — § 200.1
The MTDC base — on which indirect costs are calculated — changed in two ways that directly affect indirect cost recovery:
Subaward threshold: The definition of MTDC was updated to allow indirect cost recovery for each subaward up to $50,000 (previously $25,000). This change is not applicable to recipient institutions until the updated definition is reflected in the institution's NICRA. 
Gwu
Equipment threshold: The capitalization threshold for equipment increases from $5,000 to $10,000, so items costing $9,999 or less can be treated as supplies and materials and included in the MTDC base. 
US EPA
 This means more costs now sit in the indirect base, potentially increasing recovery.
3. Federal Agency Acceptance of NICRAs — § 200.414(c)
Federal agencies must accept a recipient's NICRA unless a different rate is required by Federal statute or regulation for a class of Federal awards or a single Federal award, or when approved by a Federal awarding agency head or delegate through the deviation process. A pass-through entity must similarly accept a subrecipient's federally negotiated indirect cost rate unless a different rate is required by statute, regulation, or an approved deviation. 
US EPA
This language strengthens protections for recipients and subrecipients against agencies unilaterally imposing lower rates.
4. Terminology: Removal of "F&amp;A" from Indirect Cost Definition
OMB removed the term "Facilities and Administrative (F&amp;A) cost" from the definition of Indirect Cost. However, the Uniform Guidance and many federal agencies continue to use this term, and the two terms will likely be used interchangeably for some time. 
Gwu
5. NICRA Transition Rules
NICRAs negotiated prior to October 1, 2024, must continue to be honored by both federal agencies and recipients. Cognizant agencies for indirect costs may — but are not required to — renegotiate existing NICRAs to reflect the new MTDC base. OMB encouraged cognizant agencies to accommodate requests to renegotiate existing NICRAs in effect beyond October 1, 2025. 
Grants &amp; Funding
At NIH specifically, changes to NICRAs will not be honored on non-competing continuation awards. 
Grants &amp; Funding
Practical Summary Table
Policy Area	Pre-2024 (2022)	2024 Revision
De minimis rate	10% of MTDC	Up to 15% of MTDC
MTDC subaward cap	$25,000/subaward	$50,000/subaward
Equipment threshold in MTDC	$5,000	$10,000
PTE de minimis for subrecipients	10%	Up to 15%
F&amp;A terminology	Used in definitions	Removed from definitions
Important compliance notes:
The new thresholds (especially the $50,000 subaward MTDC cap) do not automatically apply — they take effect upon your institution's next NICRA negotiation. Check with your sponsored programs office before applying higher thresholds in proposals.
If your institution already has a NICRA, you cannot switch to the de minimis rate until that NICRA expires or is formally terminated.
Agency-specific implementation varies (e.g., NIH will not apply NICRA changes to non-competing continuations). Always consult your program officer or grants specialist for agency-specific guidance.</t>
  </si>
  <si>
    <t>Now I'll follow the skill workflow for this change/history question. First, I need to get the version history for 2 CFR Part 200 to identify what changed around indirect costs since 2022.
Searched the web
Searched the web
Here is a comprehensive summary of the indirect cost policy changes between the 2022 version and the current (2024) revision of the Uniform Guidance (2 CFR Part 200). On April 22, 2024, OMB issued the revised OMB Guidance for Federal Financial Assistance — described as the most significant update to the Uniform Guidance since its original 2013 release — with provisions effective for awards issued on or after October 1, 2024. 
Baker Tilly
Indirect Cost Policy Changes: 2022 → 2024 Uniform Guidance
1. De Minimis Indirect Cost Rate: 10% → 15% (§ 200.414(f))
The updated Uniform Guidance increased the indirect cost de minimis rate, allowing pass-through entities to approve an indirect cost rate of up to 15% (previously 10%) for subrecipient organizations that do not have a federally negotiated indirect cost rate. 
Usc
 This is one of the most widely impactful changes for nonprofits, small businesses, and other entities without a NICRA.
The ability to use the new de minimis rate depends on whether the 2024 revisions are effective for the specific federal award being managed — a determination made on an award-by-award basis. 
Clark Nuber PS
2. Modified Total Direct Costs (MTDC) Definition Update (§ 200.1)
The definition of MTDC was updated to allow indirect cost recovery for each subaward up to $50,000. This change is not applicable to recipient institutions until the new threshold is reflected in the institution's Negotiated Indirect Cost Rate Agreement (NICRA). 
Gwu
NIH, for example, recognizes the updated MTDC definition to include up to the first $50,000 of each subaward for new and competing renewal awards issued on or after October 1, 2024, but will not make changes to NICRAs related to non-competing continuation awards. 
Grants &amp; Funding
3. Removal of "F&amp;A" Terminology from Indirect Cost Definition
OMB removed the use of the term "Facilities and Administrative (F&amp;A) cost" from the definition of Indirect Cost. However, Uniform Guidance and many federal agencies continue to use this term, and the two will likely be used interchangeably for some time. 
Gwu
4. Clarifications on Pass-Through Entity Obligations (§ 200.414(d))
The 2024 revision added clarification to the requirement that pass-through entities must accept all federally negotiated indirect cost rates for subrecipients. It also clarified that a recipient or subrecipient may notify OMB of any disputes with federal agencies regarding the application of a federally negotiated indirect cost rate — though OMB clarified it will not serve as a formal arbitrator of indirect cost rate disputes. 
Baker Tilly
5. Existing NICRA Transition Rules
In accordance with guidance from the Council on Federal Financial Assistance (COFFA), NIH will continue to honor Negotiated Indirect Cost Rate Agreements negotiated prior to October 1, 2024. Cognizant agencies for indirect costs may, but are not required to, renegotiate existing NICRAs to reflect the new MTDC definition. 
Grants &amp; Funding
The effective date of changes to indirect cost rates must be based upon the date a newly re-negotiated rate goes into effect for the recipient's or subrecipient's fiscal year. 
eCFR
6. Unfunded Pension Cost Clarification (Subpart E)
OMB clarified that payments for unfunded pension costs must be charged in accordance with the allocation principles of Subpart E. Specifically, a recipient or subrecipient may not charge unfunded pension costs directly to a federal award if they are not allocable to that award — for example, for employees who did not devote time or effort to the grant. 
Baker Tilly
Practical Takeaways
Change	Pre-2024	Post-2024 (Oct. 1, 2024+)
De minimis rate	Up to 10% of MTDC	Up to 15% of MTDC
MTDC subaward cap	$25,000 per subaward	$50,000 per subaward (when in NICRA)
F&amp;A terminology	Used in regulatory definition	Removed from definition; usage continues informally
PTE/subrecipient rate disputes	Less explicit	Clarified notification path to OMB
Unfunded pension costs	Less explicit	Must be allocable to the award to be charged directly
Important caveat: Several of the MTDC and threshold changes do not automatically apply — they take effect for an institution only when incorporated into a new or renegotiated NICRA. Institutions should confirm with their cognizant agency (e.g., DHHS, ONR, NSF) when their next rate negotiation will capture these updates. Individual agencies (NIH, NSF, NASA, etc.) have also issued their own implementation guidance with some variation in timing and applicability.</t>
  </si>
  <si>
    <t>Good — I'll follow the skill workflow. First, let me get the version history for the indirect cost sections in 2 CFR Part 200 to identify valid comparison dates.Loaded tools, used ecfr integrationLoaded tools, used ecfr integrationLoading toolsResultEEcfr get title versionsResultDoneI can see the key amendment dates. The 2022 revision was published as a final rule effective 2020-11-12 (the 2020 revision), and the current version is 2024-10-01. Let me also check the indirect cost rate negotiation section and the de minimis rate section, then run comparisons.Ecfr compare regulationsEcfr compare regulationsExcellent — that's very rich data. Now let me note that the question refers to "2022 revision," but the eCFR shows the pre-2024 version was actually the 2020 amendment (effective 2020-11-12). The 2024 revision (effective 2024-10-01) is the "current" one. Let me clarify this context and compile my full analysis now — I have all the text I need.
Here is a detailed comparison of indirect cost policy changes between the pre-2024 version (the 2020 amendment, effective 2020-11-12) and the current revision (effective 2024-10-01) at 2 CFR § 200.414.
A note on dates: The question references a "2022 revision," but 2 CFR Part 200 was not substantively amended in 2022. The eCFR confirms two relevant amendment dates: 2020-11-12 (the last major revision prior to the current one) and 2024-10-01 (the current version). The analysis below compares those two actual amendment dates.
Summary of Changes at 2 CFR § 200.414
1. Section Title — Terminology Simplified
The section was renamed from "Indirect (F&amp;A) costs" to simply "Indirect costs." This reflects the 2024 revision's broader effort to reduce jargon and adopt plain language throughout Part 200. The parenthetical "(F&amp;A)" label, which stood for Facilities &amp; Administration, is dropped from the section heading (though the F&amp;A classification structure in paragraph (a) is retained).
2. De Minimis Rate Raised from 10% to 15% — and Made More Flexible (§ 200.414(f))
This is the most significant operational change. The prior rule set a fixed de minimis rate of 10% of MTDC. The 2024 revision replaces this with a ceiling of up to 15%, and the recipient or subrecipient now has discretion to choose any rate up to that limit.
Prior text (2020): "may elect to charge a de minimis rate of 10% of modified total direct costs (MTDC)"
Current text (2024): "may elect to charge a de minimis rate of up to 15 percent of modified total direct costs (MTDC). The recipient or subrecipient is authorized to determine the appropriate rate up to this limit."
Additionally, the 2024 version adds an important new protection: Federal agencies and pass-through entities may not require recipients or subrecipients to use a de minimis rate lower than their elected rate unless required by statute or regulation. This was not present in the prior version and directly addresses a known compliance pain point where sponsors were unilaterally capping reimbursement.
The 2024 version also clarifies that the de minimis rate must not be applied to cost reimbursement contracts issued under the FAR (previously this was ambiguous).
3. One-Time Rate Extension — "Subsequent Extensions" Provision Removed (§ 200.414(g))
The prior rule permitted subsequent one-time extensions (each up to four years) as long as a renegotiation was completed between each request. The 2024 text removes this loophole and describes the extension as a true one-time option: after the extension ends, the organization must renegotiate, and may then apply for a new one-time extension of the newly negotiated rate — a subtle but meaningful distinction that closes the path to indefinite extension without ever truly renegotiating.
4. Recipient Dispute Rights Added — Deviation Notification (§ 200.414(c)(2))
The 2024 version adds new language giving recipients and subrecipients the right to notify OMB of disputes with Federal agencies over the application of a negotiated indirect cost rate. The prior version only allowed the Federal awarding agency head to notify OMB of approved deviations — the recipient had no parallel right. This is a notable strengthening of the recipient's position.
5. Pass-Through Entity Obligation Strengthened (§ 200.414(d))
The prior text at paragraph (d) was a brief cross-reference to § 200.332(a)(4). The 2024 version explicitly states that pass-through entities "must accept all federally negotiated indirect cost rates for subrecipients," making the obligation affirmative rather than implied through a cross-reference. The internal cross-reference was also updated to § 200.332(b)(4) to reflect renumbering in the 2024 revision.
6. Deviation Approval Authority — Relaxed at the Agency Level (§ 200.414(c)(1))
The prior rule required deviation approval by the "Federal awarding agency head or delegate based on documented justification." The 2024 version drops the requirement for approval specifically by the agency head or delegate and instead says deviations may be approved by "the awarding Federal agency in accordance with paragraph (c)(3)." This shifts from a named official requirement to a process-based requirement, potentially allowing more flexible agency-level procedures.
7. Former § 200.414(h) — Public Posting Requirement Removed
The prior version contained a paragraph (h) requiring that negotiated indirect rates, distribution bases, and rate types be publicly available on an OMB-designated website for all non-Federal entities (with a tribal exception). This paragraph was entirely removed from the 2024 revision. Practitioners should verify whether this requirement migrated to another section or was substantively eliminated — it may have been addressed through separate OMB guidance rather than the CFR.
Practical Takeaways for Research Administrators
IssuePrior (2020)Current (2024)De minimis rateFixed 10%Up to 15%, recipient's choiceForced de minimis reductionsNo explicit protectionAgencies/PTEs cannot require lower rateRate extensionsUnlimited sequential extensions possibleTrue one-time extension; new extension only after renegotiationRecipient disputes on deviationsNo mechanismRecipients may notify OMB of disputesPTE obligation for negotiated ratesCross-reference onlyExplicit affirmative obligationPublic rate postingRequired (§ 200.414(h))Removed from this section
As of 2024-10-01, these are the operative rules per 2 CFR § 200.414. The 2024 revision was a significant update to the Uniform Guidance; as always, verify with your institution's sponsored programs office and legal counsel on how these changes interact with agency-specific requirements and award terms already in place.</t>
  </si>
  <si>
    <t xml:space="preserve">
Good. Now let me get the version history for the indirect cost sections of 2 CFR 200 to find valid comparison dates.
Loaded tools, used ecfr integration
Loaded tools, used ecfr integration
Loading tools
Result
E
Ecfr get title versions
Result
Done
The latest amendment date is 2024-10-01. The major 2024 revision of the Uniform Guidance was published on April 22, 2024. Let me get the version history specifically for § 200.414 (the indirect cost rate section) to find a pre-2024 date to compare against.
Ecfr get title versions
Ecfr get title versions
E
Ecfr get title versions
Result
Done
The 2022 version would use the 2020-11-12 date (that was the version in effect through 2022). Now let me compare § 200.414 between 2020-11-12 and 2024-10-01, and also check the negotiated rate and de minimis sections.
Ecfr compare regulations
Ecfr compare regulations
E
Ecfr compare regulations
Result
Done
Excellent — this is a rich comparison. Now I have everything I need to give you a thorough, citation-grounded analysis.
Here is a detailed breakdown of the indirect cost policy changes between the 2022 version (2020-11-12 amendment) and the current 2024 revision (2024-10-01 amendment) of 2 CFR § 200.414.
1. Section Title — Terminology Shift
The section was renamed from "Indirect (F&amp;A) costs" to simply "Indirect costs." This reflects a broader 2024 Uniform Guidance effort to drop the parenthetical "(F&amp;A)" throughout the regulation. The underlying concept of Facilities &amp; Administration is unchanged, but the terminology is streamlined. The same simplification appears in paragraphs (a) and (b) where "indirect (F&amp;A) cost" is replaced throughout with "indirect cost."
2. De Minimis Rate — Raised from 10% to up to 15% (§ 200.414(f))
This is the most operationally significant change for most recipients.
Before (2022 version): Any non-Federal entity without a current negotiated rate could elect a fixed de minimis rate of exactly 10% of MTDC, usable indefinitely.
After (2024 current): The de minimis rate is now "up to 15 percent of MTDC." The organization itself determines the appropriate rate up to that ceiling — it is no longer a single fixed percentage. Additional guardrails were added:
Federal agencies and pass-through entities may not require recipients to use a rate lower than either the negotiated rate or the elected de minimis rate, unless required by Federal statute or regulation.
The de minimis rate must not be applied to cost reimbursement contracts issued directly by the Federal Government under the FAR.
Practical impact: Recipients previously capped at 10% now have flexibility to recover up to 15% without going through formal rate negotiation. This is a meaningful benefit for smaller nonprofits and new organizations.
3. Negotiated Rate Deviations — Recipients Now Have a Dispute Mechanism (§ 200.414(c)(1)–(c)(2))
Before (2022): Only the awarding Federal agency head or a delegate could approve deviations from negotiated rates, based on documented justification. Recipients had no explicit recourse if they disagreed.
After (2024): Two notable changes:
The approval authority was broadened from "Federal awarding agency head or delegate based on documented justification" to simply "the awarding Federal agency in accordance with paragraph (c)(3)." The explicit reference to "head or delegate" and "documented justification" was dropped from (c)(1), though (c)(3)'s requirement for public policies remains.
New in (c)(2): "The recipient or subrecipient may notify OMB of any disputes with Federal agencies regarding the application of a federally negotiated indirect cost rate." This is a new explicit dispute escalation pathway that did not exist before.
4. Pass-Through Entity Obligation Strengthened (§ 200.414(d))
Before (2022): The pass-through entity paragraph simply cross-referenced § 200.332(a)(4) in one sentence.
After (2024): The paragraph is expanded to explicitly state that pass-through entities "must accept all federally negotiated indirect cost rates for subrecipients," in addition to the cross-reference (now to § 200.332(b)(4), reflecting internal renumbering). This clarifies an obligation that was previously only implied.
5. Removal of the One-Time Extension Recurrence Rule (§ 200.414(g))
Before (2022): The one-time extension provision explicitly stated: "Subsequent one-time extensions (up to four years) are permitted if a renegotiation is completed between each extension request." This meant an organization could repeatedly apply for extensions as long as it renegotiated in between.
After (2024): The language now reads that after a new rate is negotiated, the recipient "may again apply for a one-time extension of the new rate in accordance with this paragraph." The explicit clarification about subsequent extensions being permitted was simplified, but the concept that extensions can recur after each renegotiation is preserved — just less verbosely stated.
6. Removal of the Public Disclosure Requirement for Negotiated Rates (§ 200.414(h) — Deleted)
Before (2022): There was an explicit paragraph (h) requiring that "the federally negotiated indirect rate, distribution base, and rate type for a non-Federal entity…must be available publicly on an OMB-designated Federal website," with a carve-out for Indian tribes.
After (2024): This paragraph was entirely removed from § 200.414. The public transparency requirement may have been relocated elsewhere in the regulation or in OMB guidance, but it no longer appears as a standalone requirement in this section. Institutions should verify whether their NICRA information is still subject to public posting requirements through other provisions.
Summary Table
Provision	2022 Version	2024 Current Version
Section title	"Indirect (F&amp;A) costs"	"Indirect costs"
De minimis rate	Fixed 10% of MTDC	Flexible up to 15% of MTDC; agencies cannot impose lower floor
De minimis FAR contracts	Not addressed	Explicitly excluded
Rate deviation approval	Agency head or delegate, documented justification	"Awarding Federal agency in accordance with (c)(3)"
Recipient rate dispute	No mechanism	Recipient may notify OMB of disputes
Pass-through obligation	Cross-reference only	Explicit duty to accept all negotiated rates for subrecipients
One-time extension recurrence	Explicitly permitted after renegotiation	Preserved but simplified
Public posting of negotiated rates	Explicit requirement in (h)	Paragraph removed
A note on scope: These changes are specific to § 200.414. The 2024 revision was comprehensive and other indirect cost-related provisions — including § 200.306 (cost sharing), § 200.332 (subawards), and the Appendices — also changed. If you need those comparisons as well, I can run them. Also, some agency-specific supplements (e.g., NIH's Grants Policy Statement) may impose additional requirements not captured in the CFR text alone — always verify with your sponsored programs office and cognizant agency.</t>
  </si>
  <si>
    <t>Good — I have the workflow. Now let me first get the version history for 2 CFR Part 200 to identify valid dates for comparison, then compare indirect cost-relevant sections between 2022 and the current (2024) revision.Loaded tools, used ecfr integrationLoaded tools, used ecfr integrationLoading toolsResultEEcfr get title versionsResultDoneGood — the latest amendment date is 2024-10-01. Now I need a valid 2022 date. Let me query for versions around 2022 and also get the key indirect cost sections: § 200.414 (indirect cost rates) and § 200.405 (allocable costs).Ecfr get title versionsEcfr get title versionsEEcfr get title versionsResultDoneThe version history for § 200.414 shows the section was last amended on 2020-11-12 before the 2024-10-01 revision. So for the "2022" state of the regulation, the valid date to use is 2020-11-12. Let me now compare § 200.414 between those two dates, and also pull in § 200.405 (allocable costs), § 200.406 (applicable credits), and the de minimis rate § 200.414(f).Ecfr compare regulationsEcfr compare regulationsEEcfr compare regulationsResultDoneI now have a rich, detailed comparison. Let me also quickly check whether there were any changes to the indirect cost definition section (§ 200.1 "indirect costs" definition) in 2024.Ecfr get title versionsEcfr get title versionsEEcfr get title versionsResultDoneI have everything I need for a thorough analysis. Here is a detailed breakdown of the indirect cost policy changes between the pre-2024 state of 2 CFR Part 200 (the version in effect through 2022–2023, last substantively amended 2020-11-12) and the current 2024 revision (effective 2024-10-01), all grounded in the actual regulatory diff from § 200.414.
Indirect Cost Policy Changes: 2 CFR § 200.414 (2020→2024)
The 2024 revision of the Uniform Guidance (effective October 1, 2024) made several meaningful indirect cost changes. The comparison below is based on the official eCFR diff between the version in force as of 2022 (amendment date 2020-11-12) and the current text (2024-10-01).
1. De Minimis Rate Raised from 10% to 15% — and Made Flexible (§ 200.414(f))
This is the most operationally significant change for most recipients.
Before (2020 version): Organizations without a negotiated rate could elect a fixed de minimis rate of exactly 10% of MTDC.
After (2024 version): The de minimis rate is now up to 15% of MTDC. The recipient or subrecipient may choose any rate up to that ceiling — it is no longer a fixed figure. The regulation now explicitly states that federal agencies and pass-through entities may not require recipients to use a rate lower than the negotiated rate or the elected de minimis rate (unless required by statute or regulation).
The 2024 text also clarifies that the de minimis rate does not apply to cost reimbursement contracts issued directly by the federal government under the FAR.
Practical impact: Organizations operating at the old 10% rate may now elect a higher rate without needing to negotiate a formal indirect cost rate agreement. The new anti-coercion language also gives recipients clearer standing to push back if an agency or pass-through entity tries to impose a lower rate.
2. One-Time Rate Extension — Subsequent Extensions Eliminated (§ 200.414(g))
Before (2020 version): An organization with a negotiated rate could apply for a one-time extension of up to four years. Critically, the old text added: "Subsequent one-time extensions (up to four years) are permitted if a renegotiation is completed between each extension request." This created a rolling extension mechanism.
After (2024 version): The rolling extension language has been removed. The current text simply states that after a new rate has been negotiated following the extension period, the recipient may again apply for a one-time extension — but the prior language explicitly permitting repeated back-to-back extensions after renegotiation is gone. This tightens the cycle.
3. Pass-Through Entity Obligations Strengthened (§ 200.414(d))
Before: The pass-through entity paragraph was a brief cross-reference: "Pass-through entities are subject to the requirements in § 200.332(a)(4)."
After: The provision now reads that pass-through entities "must accept all federally negotiated indirect cost rates for subrecipients." This affirmative obligation is explicitly stated in § 200.414(d) itself, not just in a cross-reference. The internal cross-reference has also been updated to § 200.332(b)(4) to reflect renumbering elsewhere in the 2024 revision.
Practical impact: Pass-through entities (e.g., a prime recipient managing subawards) have less discretion to refuse or discount a subrecipient's federally negotiated rate.
4. Recipient Dispute Rights Added (§ 200.414(c)(2))
Before: Only federal agency deviations from negotiated rates were addressed — the head of the awarding agency must notify OMB of approved deviations.
After: A new sentence was added giving recipients and subrecipients the ability to notify OMB of disputes with federal agencies regarding application of a federally negotiated rate. This is a new procedural right with no analog in the 2020 text.
5. Agency Head Approval Requirement Relaxed (§ 200.414(c)(1))
Before: Deviations from a negotiated rate required approval by "a Federal awarding agency head or delegate based on documented justification." The approval had to come from a named level of leadership with documented justification in the record.
After: The requirement now simply says deviations must be "approved by the awarding Federal agency in accordance with paragraph (c)(3)" — the specific agency-head-or-delegate language is dropped. This slightly broadens the internal approval authority while still requiring the publicly available policies to be followed.
6. Terminology Shift: "F&amp;A" Dropped, "Indirect Costs" Standardized
Throughout the pre-2024 text, indirect costs were consistently labeled "Indirect (F&amp;A) costs" (Facilities and Administration). The 2024 revision drops the F&amp;A parenthetical and uses simply "indirect costs" as the standard term. The F&amp;A categorization framework for IHEs and major nonprofits is preserved substantively in § 200.414(a), but the terminological simplification applies throughout the section heading and body text.
Summary Table
Policy AreaPre-2024 (in force 2022)Current (2024)De minimis rate amountFixed 10% of MTDCUp to 15% of MTDC (entity chooses)Agency/PTE rate coercionNot addressedExplicitly prohibitedRate extension repeatsPermitted with renegotiation betweenRemoved; one extension per negotiation cyclePass-through entitiesCross-reference onlyMust affirmatively accept all negotiated ratesRecipient dispute rightsNoneRecipients/subrecipients may notify OMB of disputesAgency deviation approvalAgency head or delegate + documented justificationAgency approval per published proceduresTerminology"Indirect (F&amp;A) costs""Indirect costs"
A note on applicability: The 2024 revision applies to federal awards made on or after October 1, 2024. Awards made before that date continue under the prior requirements unless the agency incorporates the new terms by amendment. If your institution has awards spanning both regimes, verify the award date before applying the new de minimis ceiling or invoking the new dispute rights. As always, your sponsored programs office or legal counsel should confirm how your cognizant agency is implementing these changes.</t>
  </si>
  <si>
    <t xml:space="preserve">
Now let me search for the relevant regulations on NIH salary cap and institutional base salary.
Used ecfr_test integration, loaded tools
Used ecfr_test integration, loaded tools
Good — the key section is 2 CFR § 200.430 (Compensation—personal services). Let me fetch it, along with the cost sharing section.
Used ecfr_test integration
Used ecfr_test integration
Now let me fetch the key sections — 2 CFR § 200.430 (personal services/compensation) and 2 CFR § 200.306 (cost sharing):
Used ecfr_test integration
Used ecfr_test integration
I now have both key sections. Let me put together a thorough, well-cited answer.
This is a great compliance question that sits at the intersection of three distinct frameworks: the NIH salary cap (a statutory ceiling), the Uniform Guidance's IBS definition (a cost principles floor/ceiling), and cost sharing rules. Here's how they interact:
1. Institutional Base Salary (IBS): The Foundation
The starting point for all of this is IBS, defined in 2 CFR § 200.430(i)(2) (as of October 1, 2024 — the most recent amendment to the Uniform Guidance):
"IBS is the annual compensation paid by an IHE for an individual's appointment, whether that individual's time is spent on research, instruction, administration, or other activities. IBS excludes any income an individual earns outside of duties performed for the IHE."
This means:
IBS is set by the institution, not NIH. It is what the university pays you for your full appointment — your 9-month or 12-month salary as the case may be.
Consulting income, honoraria, and other outside income are not part of IBS.
Per § 200.430(i)(2), charges to federal awards "may not exceed the proportionate share of the IBS" for the period worked. This is a hard ceiling: you cannot charge a grant more than your IBS would allow, regardless of what percentage of effort you commit.
2. The NIH Salary Cap: A Second, Independent Ceiling
The NIH salary cap is a statutory ceiling set annually by Congress through appropriations law (currently pegged to Executive Level II of the Federal Pay Scale). It is not in the CFR — it comes from appropriations riders that NIH implements through its Grants Policy Statement and Notice of Award terms.
Per 2 CFR § 200.430(d)(2):
"The allowable compensation for certain employees is subject to a ceiling in accordance with Federal statute... For other types of Federal awards, other statutory ceilings may apply."
This provision is the CFR's acknowledgment that the salary cap exists. The practical interaction works like this:
Scenario	Which ceiling applies?
Employee IBS below the cap	IBS is the binding ceiling
Employee IBS above the cap	The NIH cap is the binding ceiling
When a faculty member's IBS exceeds the cap, only the cap amount per unit time can be charged to the NIH award — even if their proportionate share of IBS would be higher.
3. Where Cost Sharing Enters the Picture
2 CFR § 200.430(g)(4) makes a critical statement:
"Salaries and wages of employees used in meeting cost sharing requirements on Federal awards must be supported in the same manner as salaries and wages claimed for reimbursement from Federal awards."
This means cost sharing salary commitments carry the same documentation and allowability standards as direct charges. But the cap interaction creates an important wrinkle:
When IBS exceeds the NIH cap, the difference between the cap and the actual IBS cannot simply be treated as automatic cost sharing — unless the institution affirmatively commits it. Here's how it plays out:
The salary differential is institutionally borne, meaning the institution pays the portion above the cap from non-federal funds. This is sometimes called "mandatory cost sharing by operation of the cap."
However, voluntary committed cost sharing (VCCS) — effort formally committed in the award budget beyond what is charged — is strongly discouraged under § 200.306(a):
"Voluntary committed cost sharing is not expected under Federal research grants. The Federal agency may not use voluntary committed cost sharing as a factor during the merit review..."
Voluntary uncommitted cost sharing (VUCS) — faculty time above what was proposed, not documented in the budget — has a further special rule under § 200.306(k): it "should not be included in the organized research base for computing the indirect cost rate." This is critical for F&amp;A rate negotiations.
4. The Three-Part Practical Framework
Here is how these rules work together in practice:
Step 1 — Determine the billable rate. The lesser of (a) the proportionate share of IBS, or (b) the NIH cap amount, is the maximum chargeable to the award.
Step 2 — Document consistently. Per § 200.430(g)(4), salary used for cost sharing must be documented with the same rigor as direct charges — effort reporting, payroll records, and reasonable reflection of actual work performed per § 200.430(g)(1).
Step 3 — Handle the cap differential carefully. The amount by which IBS exceeds the cap is institutionally paid. If your institution formally commits this as cost sharing in the award budget, it becomes VCCS with all the tracking obligations that entails. If the faculty simply work effort above what the award covers without a formal commitment, that is VUCS — which per § 200.306(k) must be kept out of the F&amp;A base. Many institutions' pre-award offices specifically advise against formally committing the cap differential as cost sharing to avoid the administrative burden.
Key Practical Takeaways for Research Administrators
Never charge more than IBS to any federal award, regardless of effort (§ 200.430(i)(2)).
The NIH cap is a separate, additional constraint when IBS is above the cap level — check the current cap against each PI's IBS at budget preparation.
Avoid voluntary committed cost sharing in NIH proposals. The Uniform Guidance explicitly discourages it (§ 200.306(a)), and NIH has long followed this policy.
The cap-IBS differential is not automatically cost sharing unless formally committed in the budget — but either way, the institution bears the cost.
VUCS must be excluded from the F&amp;A base (§ 200.306(k)) — this has real implications for indirect cost rate negotiations.
⚠️ Important caveat: The NIH salary cap amount, specific notice requirements, and any current year waivers live in the NIH Grants Policy Statement and annual NIH Guide Notices — not in the CFR. Always verify the current cap level with NIH's published notices, and consult your institution's sponsored programs office and legal counsel for institution-specific policy interpretation.</t>
  </si>
  <si>
    <t>Now let me get the version history for 2 CFR Part 200 to find valid comparison dates, then compare the prior approval sections.Loaded tools, used ecfr_test integrationLoaded tools, used ecfr_test integrationThe latest amendment date is 2024-10-01. Now let me get the version dates specifically for the prior approval section (§ 200.407) to find valid comparison dates around 2023 and 2025.Ecfr get title versionsEcfr get title versionsThe two substantive amendment dates are 2020-11-12 (the 2020 revision, which was in effect during the "2023" era the user references) and 2024-10-01 (the 2024/2025 revision). Let me now compare those two versions and also fetch the current text.Ecfr compare regulationsEcfr compare regulationsI now have everything I need. The eCFR shows only two substantive versions of § 200.407 — a clarification worth noting before diving into the analysis.
Prior Approval Changes: 2 CFR § 200.407 — Pre-2024 vs. Post-2024 Revision
A quick framing note: the Uniform Guidance revisions you're asking about are more precisely the 2020 revision (effective November 12, 2020, which was the operative text through late 2024) and the October 1, 2024 revision (the most recent substantive amendment, effective for new federal awards on or after October 1, 2024). There was no separate 2023 revision to § 200.407 — the 2023 eCFR republication was an editorial issue, not a substantive change.
Here's what the live regulatory text shows changed between those two versions:
1. Who may seek prior approval — terminology shift
Before (2020 text): "the non-Federal entity may seek the prior written approval of the cognizant agency for indirect costs or the Federal awarding agency"
After (2024 text): "the recipient may seek the prior written approval of the Federal agency (or, for indirect costs, the cognizant agency for indirect costs)"
The shift from "non-Federal entity" to "recipient" narrows the population slightly — subrecipients are now less explicitly included in this provision's framing. The ordering also changed, making the Federal awarding agency the default approver with the cognizant agency for indirect costs as a parenthetical carve-out.
2. Removal of the "timeframe or scope" requirement
Before: "Prior written approval should include the timeframe or scope of the agreement."
After: That sentence is entirely gone.
This is a meaningful simplification — there is no longer any explicit regulatory expectation that prior approval communications specify their duration or scope. Practitioners should still document this in practice, but it is no longer a regulatory directive.
3. The prior approval trigger list was significantly shortened
The 2024 revision removed nine cost categories from the list of circumstances requiring prior approval, and retained sixteen. The categories dropped are:
Removed CitationCost Category§ 200.201(b)(5)Fixed amount award programmatic changes§ 200.311Real property§ 200.313Equipment (standalone section — subsumed into § 200.439)§ 200.413(c)Direct costs — administrative and clerical salaries§ 200.438Entertainment costs§ 200.454(c)Memberships — certain lobbying-adjacent activities§ 200.456Participant support costs§ 200.467Selling and marketing costs§ 200.470Taxes (including Value Added Tax)
The practical effect is that recipients no longer need prior approval specifically referenced under § 200.407 for these items. However, this does not necessarily mean those costs are now freely allowable — it means the prior approval hook in § 200.407 no longer points to them. You still need to read each underlying cost section to determine whether prior approval language was retained or removed there as well.
Bottom line for practitioners
The 2024 revision streamlined § 200.407 in two directions: it simplified the approver hierarchy language, dropped the procedural "timeframe/scope" guidance, and substantially reduced the cross-reference list of prior-approval triggers. For any awards made on or after October 1, 2024, your prior approval checklist should be based on the shorter 2024 list. Awards made under the 2020 text remain governed by the older, longer list.
As always, agency-specific terms and conditions (which can be more restrictive than the baseline Uniform Guidance) may impose additional prior approval requirements beyond what § 200.407 enumerates. Verify with your sponsored programs or compliance office before relying solely on the regulatory text.</t>
  </si>
  <si>
    <t xml:space="preserve">Now let me get the version history for 2 CFR Part 200, then compare the prior approval sections between a 2023 date and the 2024/2025 revision.
Loaded tools, used ecfr_test integration
Loaded tools, used ecfr_test integration
Loading tools
Result
E
Ecfr get title versions
Result
Done
The eCFR shows the latest amendment date is 2024-10-01 and there are versions going back to 2016-11-28. Let me now find prior approval-specific sections and compare them between a pre-2024 date and the 2024-10-01 revision.
Used ecfr_test integration
Used ecfr_test integration
The general search is too broad. Let me go directly to the key prior approval sections in 2 CFR Part 200 — specifically § 200.407 (prior written approval) and § 200.308 (budget revisions) — and compare them between a pre-2024 date and the 2024-10-01 revision.
Ecfr get title versions
Ecfr get title versions
E
Ecfr get title versions
Result
Done
The key amendment dates for § 200.407 are 2020-11-12 (pre-2024 version) and 2024-10-01 (the 2024/2025 revision). Let me compare those, and also check § 200.308 (prior approvals for budget changes).
Ecfr compare regulations
Ecfr compare regulations
E
Ecfr compare regulations
Result
Done
Excellent — very rich data. Now let me also compare § 200.308 (budget revision prior approvals) between the same two dates.
Used ecfr_test integration
Used ecfr_test integration
E
Ecfr get title versions
Result
E
Ecfr compare regulations
Result
Done
I now have everything needed for a comprehensive, citation-grounded analysis. Let me synthesize this.
Prior Approval Changes: 2 CFR Part 200 — Pre-2024 vs. October 2024 Revision
These are based on a direct regulatory comparison using the eCFR API, comparing the 2020-11-12 version (which was the operative text through 2023) with the 2024-10-01 version (effective October 1, 2024 — the most recent amendment). There is no separate discrete "2023 revision"; the 2024 rule is the revision that OMB issued to modernize the Uniform Guidance.
1. § 200.407 — Prior Written Approval (Prior Approval): Significant Streamlining
This is the master list of costs requiring prior approval, and it got substantially shorter.
Nine cost categories were removed from the mandatory prior approval trigger list:
Removed Item	Old Citation
Use of fixed amount awards (paragraph reference)	§ 200.201(b)(5)
Real property	§ 200.311
Equipment (standalone)	§ 200.313
Direct costs (admin cost paragraph)	§ 200.413(c)
Entertainment costs	§ 200.438
Memberships, subscriptions (paragraph c)	§ 200.454(c)
Participant support costs	§ 200.456
Selling and marketing costs	§ 200.467
Taxes (including VAT)	§ 200.470
Practical implication: Recipients no longer need to seek prior written approval for entertainment costs, taxes/VAT, selling and marketing costs, participant support costs, or memberships under § 200.407. Those costs are still subject to allowability rules under their respective sections — but they no longer trigger a mandatory prior approval process at the § 200.407 level.
Introductory language changes: The 2024 version shifts the framing from "special or unusual costs" to simply "certain costs," removing language that implied prior approval was primarily for exceptional situations. It also clarifies that the recipient may approach either the Federal agency or (for indirect costs) the cognizant agency for indirect costs — the old version referenced the cognizant agency first, which sometimes caused confusion.
2. § 200.308 — Revision of Budget and Program Plans: Restructured and Expanded
This section, governing prior approvals for budget and program changes, was reorganized with named subparagraphs and two important policy changes.
Key personnel definition broadened. The old text required prior approval for a "change in a key person specified in the application or the Federal award." The 2024 version expands this to "change in key personnel (including employees and contractors) that are identified by name or position in the Federal award." This explicitly brings contractors into the definition, closing a gap that some recipients had exploited.
Subaward prior approval scope narrowed. The old § 200.308(c)(6) required prior approval for "the subawarding, transferring or contracting out of any work under a Federal award." The 2024 version limits this: prior approval is required for subaward activities not proposed in the application, and crucially, a change of subrecipient only requires prior approval if the agency specifically includes that requirement in the award terms — and the regulation affirmatively states agencies generally should not require it unless the subrecipient's inclusion was a determining factor in merit review. This is a significant relaxation.
New mandatory item: no-cost extensions. The 2024 version adds a new item (f)(10) requiring prior approval for non-automatic no-cost extensions (NCEs) — i.e., those beyond a single agency-authorized one-time extension. This formalizes what was previously handled inconsistently across agencies.
New mandatory item: construction/non-construction fund transfers. A cross-award fund transfer between construction and non-construction work under the same award is now explicitly listed as a mandatory prior approval item (f)(9), consolidating what was previously scattered in a separate paragraph.
Research waivers clarified. The automatic waiver of discretionary prior approvals for research awards, previously buried in paragraph (e)(4), now has its own named paragraph — § 200.308(h) — making it easier to find. The 2024 version also clarifies that even for research awards, one-time extensions still require prior approval when any of the three standard conditions apply.
Budget revision format flexibility. The old rule required the same format as the original application "unless the Federal awarding agency indicates a letter of request suffices." The 2024 version expressly allows electronic systems, email, or other agency-approved mechanisms — a meaningful modernization that aligns with how agencies now operate.
Summary Table
Topic	Pre-2024 (2020-11-12)	2024 Revision (2024-10-01)
Prior approval triggers (§ 200.407)	25 items	16 items — 9 removed
Entertainment costs	Required prior approval	No longer on the § 200.407 list
Taxes/VAT	Required prior approval	No longer on the § 200.407 list
Participant support costs	Required prior approval	No longer on the § 200.407 list
Key personnel definition	Employees only	Employees and contractors
Subrecipient changes	Prior approval required	Prior approval only if in award terms; agency discouraged from requiring it
No-cost extensions	Handled under waiver provisions	Explicitly listed as mandatory prior approval item (with exceptions)
Budget revision format	Application format or letter	Application format, email, electronic systems
Research award waivers	Buried in (e)(4)	Standalone paragraph (h); easier to locate
Compliance Takeaway
The 2024 revision generally reduces the administrative burden of prior approval under § 200.407 by trimming the mandatory trigger list, while tightening accountability in specific areas like key personnel (adding contractors) and formalizing NCE procedures. Institutions should review their prior approval tracking systems to remove obsolete triggers and update key personnel definitions to include named contractors. As always, your specific agency's award terms and conditions may impose additional requirements — check those as your first reference point. Consult your sponsored programs office or legal counsel for award-specific interpretations.
</t>
  </si>
  <si>
    <t>Now let me get the version history to identify valid comparison dates, then run the comparison on key indirect cost sections.
Loaded tools, used ecfr integration
Loaded tools, used ecfr integration
Loading tools
Result
E
Ecfr get title versions
Result
Done
The versions show amendments from 2016 onward. The current version is from 2024-10-01. Now let me get version history specifically around the key indirect cost sections (§ 200.414 is the main one) to find a good 2022 date to compare against.
Ecfr get title versions
Ecfr get title versions
E
Ecfr get title versions
Result
Done
The versions for § 200.414 show 2020-11-12 as the pre-2024 amendment (which was the version in effect throughout 2022 and until the 2024 revision). Let me compare those two dates directly, and also check § 200.406 (indirect cost rate agreements) and Appendix III/IV for universities.
Ecfr compare regulations
Ecfr compare regulations
E
Ecfr compare regulations
Result
Done
I now have the full before/after text. Let me also quickly check whether the old § 200.332(a)(4) vs. new § 200.332(b)(4) cross-reference for pass-through entities and indirect costs changed substantively.
Ecfr get title versions
Ecfr get title versions
I have all the data I need from the regulatory text. Here is a thorough analysis of what changed.
Indirect Cost Policy Changes: 2 CFR § 200.414 — 2022 Version vs. 2024 Current Version
The most substantive indirect cost changes in the Uniform Guidance came with the October 1, 2024 revision (the 2022 version in effect at your institution was the November 12, 2020 text). Here are the key policy differences, grounded directly in the regulatory text.
1. De Minimis Rate: Increased from 10% to "Up to 15%" — and Recipient Now Sets the Rate
This is the most operationally significant change.
Prior text (2 CFR § 200.414(f), 2020): Any entity without a negotiated rate "may elect to charge a de minimis rate of 10 percent of modified total direct costs (MTDC)… once elected must be used consistently for all Federal awards until such time as a non-Federal entity chooses to negotiate for a rate."
Current text (2 CFR § 200.414(f), 2024): Recipients and subrecipients "may elect to charge a de minimis rate of up to 15 percent of MTDC. The recipient or subrecipient is authorized to determine the appropriate rate up to this limit."
Three sub-changes come with this:
The rate ceiling rose from a flat 10% to a flexible cap of 15%.
Entities now have discretion to pick any rate between 0–15% rather than defaulting to a single fixed percentage.
Federal agencies and pass-through entities are explicitly prohibited from requiring a de minimis rate lower than what the entity elected, unless required by statute or regulation — new protection that did not exist in the 2020 text.
The carve-out for entities described in Appendix VII, paragraph D.1.b was removed from the de minimis paragraph, simplifying eligibility.
2. One-Time Extension: Subsequent Extensions Are No Longer Permitted
Prior text (§ 200.414(g), 2020): "Subsequent one-time extensions (up to four years) are permitted if a renegotiation is completed between each extension request." This allowed a rolling cycle of extensions indefinitely, as long as a renegotiation occurred in between.
Current text (§ 200.414(g), 2024): "A recipient or subrecipient with a current Federal negotiated indirect cost rate may apply for a one-time extension of that agreement for up to four years… After a new rate has been negotiated, the recipient or subrecipient may again apply for a one-time extension of the new rate." The language now more clearly allows only one extension at a time per negotiated rate period — the explicit "subsequent one-time extensions are permitted" language was removed, though re-application after a full renegotiation is still allowed.
3. Pass-Through Entities Now Have an Explicit Obligation to Accept Negotiated Rates
Prior text (§ 200.414(d), 2020): Merely stated "Pass-through entities are subject to the requirements in § 200.332(a)(4)." — a bare cross-reference.
Current text (§ 200.414(d), 2024): "Pass-through entities are subject to the requirements in § 200.332(b)(4) and must accept all federally negotiated indirect costs rates for subrecipients." The obligation to accept negotiated rates for subrecipients is now stated affirmatively in the indirect cost section itself, not just buried in the subaward management section.
4. Recipient Dispute Rights Added for Deviations from Negotiated Rates
Prior text (§ 200.414(c)(2), 2020): "The Federal awarding agency head or delegate must notify OMB of any approved deviations." Only the agency had an obligation.
Current text (§ 200.414(c)(2), 2024): "The Federal agency must notify OMB of any approved deviations. The recipient or subrecipient may notify OMB of any disputes with Federal agencies regarding the application of a federally negotiated indirect cost rate." This added an explicit recipient right to escalate rate disputes directly to OMB — a meaningful new protection for grantees.
5. Approval Standard for Rate Deviations Simplified (Agency Head Delegation Removed)
Prior text (§ 200.414(c)(1), 2020): Deviations required approval by "a Federal awarding agency head or delegate based on documented justification."
Current text (§ 200.414(c)(1), 2024): Deviations require approval by "the awarding Federal agency in accordance with paragraph (c)(3)." The explicit requirement for agency-head-level or delegate approval with documented justification was removed, replaced by a general reference to the agency's publicly available deviation policies.
6. Public Transparency Requirement for Negotiated Rates Was Removed
Prior text (§ 200.414(h), 2020): "The federally negotiated indirect rate, distribution base, and rate type for a non-Federal entity… must be available publicly on an OMB-designated Federal website."
Current text (2024): This entire paragraph (h) was deleted from § 200.414. The public disclosure obligation for negotiated rates no longer appears in this section. Research administrators should verify whether this requirement migrated elsewhere in Part 200 or was eliminated entirely.
7. Terminology: "Indirect (F&amp;A) Costs" → "Indirect Costs"
The section title and body text were updated throughout to drop the parenthetical "(F&amp;A)" designation. The 2020 text consistently used "indirect (F&amp;A) costs"; the 2024 text uses "indirect costs" throughout. This is largely a drafting simplification but may affect how your institution references the section in internal policies and rate agreements.
Summary Table
Issue	2022 (2020-11-12 text)	Current (2024-10-01)
De minimis rate	Fixed 10%	Up to 15%, entity chooses
Agencies can require lower de minimis	No explicit prohibition	Explicitly prohibited
Subsequent rate extensions	Permitted after renegotiation	Language removed; one-time framing clarified
Pass-through entity duty re: negotiated rates	Cross-reference only	Affirmatively stated
Recipient dispute rights with OMB	None	Explicit right added
Public disclosure of negotiated rates	Required (§ 200.414(h))	Paragraph removed
Agency deviation approval standard	Agency head/delegate + documented justification	General agency-level approval
Practical note: The removal of the public disclosure paragraph (h) is worth flagging with your compliance office, as it is unclear whether that obligation was relocated within Part 200 or eliminated. Also, institutions that have been advising subrecipients to use the flat 10% de minimis should update their subrecipient guidance to reflect the new flexible 15% ceiling. I'm not a lawyer or compliance officer — for award-specific implementation questions, verify with your sponsored programs office or legal counsel.</t>
  </si>
  <si>
    <t>Good — I'll follow the skill's workflow. Let me start by getting version history for the indirect cost sections, then compare the 2022 text against the current 2024 text.Loaded tools, used ecfr integrationLoaded tools, used ecfr integrationLoading toolsResultEEcfr get title versionsResultDoneThe version history shows 2016 and 2024 dates. The 2024 revision (effective 2024-10-01) is the current one. Let me now compare the key indirect cost sections — § 200.414 (indirect cost rates), § 200.415 (required certifications), and § 200.56 (indirect costs definition) — between a 2022 date and 2024.Ecfr get title versionsEcfr get title versionsThe last pre-2024 amendment was 2020-11-12, which would be the "2022 version." Now let me compare the two versions of § 200.414 directly, and also check § 200.56 (indirect costs definition):Ecfr compare regulationsEcfr compare regulationsThis is very rich data. Now let me also check the definition section for "indirect costs" and the pass-through rate acceptance provisions to complete the picture:Used ecfr integrationUsed ecfr integrationEEcfr get title versionsResultEEcfr searchResultEEcfr searchResultDoneI now have all the substantive data I need from the direct comparison of § 200.414. I can compile a thorough and accurate answer.
Here is a detailed analysis of the indirect cost policy changes between the pre-2024 version (last amended 2020-11-12, in force through 2022) and the current version (effective 2024-10-01) of 2 CFR § 200.414, based on a live eCFR diff.
Indirect Cost Policy Changes: 2 CFR § 200.414 (2020/2022 → 2024)
1. De Minimis Rate Raised from 10% to 15% — and Made Flexible
This is the biggest operational change for most organizations.
Before (§ 200.414(f), 2020 version): Organizations without a negotiated rate could elect a flat de minimis rate of 10% of MTDC.
After (§ 200.414(f), 2024 version): Organizations without a negotiated rate may now charge up to 15% of MTDC, and the recipient or subrecipient is expressly authorized to choose any rate up to that ceiling. This introduces flexibility that didn't exist before — organizations aren't locked into 10%, they can elect any rate between 0% and 15%.
Additionally, the 2024 version explicitly states that Federal agencies and pass-through entities may not require recipients or subrecipients to use a rate lower than the one elected (unless required by statute or regulation). This is a new recipient protection not present in the prior version.
The 2024 text also clarifies that the de minimis rate must not be applied to cost reimbursement contracts issued directly by the Federal Government under the FAR — a FAR-alignment clarification that was previously absent.
2. One-Time Rate Extension: Subsequent Extensions Eliminated
Before (§ 200.414(g), 2020 version): An organization could apply for a one-time extension of up to four years, and subsequent one-time extensions (up to four years) were permitted provided a renegotiation occurred between each extension request.
After (§ 200.414(g), 2024 version): The extension provision is retained, but the language allowing repeated, sequential extensions has been removed. After the extension period ends, the recipient or subrecipient must re-apply to negotiate a new rate, and only after a new rate has been negotiated may it apply for another extension. The 2024 text is narrower and cleaner, removing the prior loophole that allowed effectively indefinite extension-cycling.
3. Public Transparency Requirement for Negotiated Rates Removed
Before (§ 200.414(h), 2020 version): There was an explicit requirement that the federally negotiated indirect rate, distribution base, and rate type must be publicly available on an OMB-designated Federal website (with an exception for Indian tribes and tribal organizations).
After (2024 version): This entire paragraph (h) has been removed. There is no equivalent provision in the 2024 revision of § 200.414.
Practical implication: This removes a transparency mandate from the regulation itself. However, institutions should verify whether this obligation now appears elsewhere (e.g., in agency-specific policies or OMB guidance), as the removal from § 200.414 alone may not eliminate all disclosure obligations. Consult your compliance office and legal counsel on this point.
4. Pass-Through Entity Rate Acceptance Strengthened
Before (§ 200.414(d), 2020 version): Pass-through entities were simply cross-referenced to the subrecipient requirements at § 200.332(a)(4).
After (§ 200.414(d), 2024 version): The pass-through entity paragraph now explicitly requires pass-through entities to accept all federally negotiated indirect cost rates for subrecipients, not merely reference that section. The cross-reference also updated to § 200.332(b)(4) to reflect the 2024 restructuring of that section.
5. Deviation Approval: Recipient Dispute Rights Added
Before (§ 200.414(c)(2), 2020 version): Only the Federal awarding agency head or delegate was required to notify OMB of approved rate deviations.
After (§ 200.414(c)(2), 2024 version): A new right was added: the recipient or subrecipient may now notify OMB of any disputes with Federal agencies regarding the application of a federally negotiated indirect cost rate. This is a meaningful new procedural protection for award recipients.
6. Deviation Approval Authority Broadened
Before (§ 200.414(c)(1), 2020 version): A deviation from a negotiated rate required approval by the Federal awarding agency head or delegate, based on documented justification.
After (§ 200.414(c)(1), 2024 version): The specific "head or delegate with documented justification" language has been replaced with approval "by the awarding Federal agency in accordance with paragraph (c)(3)" — streamlining the standard without specifying who within the agency must approve.
7. Terminology: "F&amp;A" Dropped
The section title changed from "Indirect (F&amp;A) costs" to simply "Indirect costs," and "F&amp;A" references were removed throughout. The term "non-Federal entity" was replaced with "recipient or subrecipient" throughout, consistent with the 2024 revision's broader terminology update across all of Part 200.
Summary Table
IssuePre-20242024 CurrentDe minimis rateFixed 10% of MTDCUp to 15% of MTDC (recipient chooses)Agency can impose lower de minimis?Not addressedExplicitly prohibitedSequential rate extensionsPermitted with renegotiation between eachEliminatedPublic posting of negotiated ratesRequired (§ 200.414(h))RemovedPass-through rate acceptanceCross-reference onlyExplicit mandate addedRecipient dispute rights with OMBNoneNew right addedDeviation approval standardAgency head/delegate + documented justificationAgency per § 200.414(c)(3)
Important caveats: The 2024 Uniform Guidance revision became effective October 1, 2024. Federal agencies had until October 1, 2025 to implement it in their award terms. Some agencies may have adopted it earlier or later, and some agency-specific supplements (e.g., NIH Grants Policy Statement, DOE Financial Assistance Rules) may impose additional or different requirements. Always consult your institution's sponsored programs office and legal counsel before changing your cost recovery practices.</t>
  </si>
  <si>
    <t>Good. Now I'll follow the skill's workflow for a change comparison question. First I need to get valid dates around 2022 and the current amendment, then compare the indirect cost sections.Loaded tools, used ecfr integrationLoaded tools, used ecfr integrationLoading toolsResultEEcfr get title versionsResultDoneThe versions list only shows 2016. I need to filter to just the indirect cost section (200.414) to get the right amendment dates.Ecfr get title versionsEcfr get title versionsThe key dates are 2020-11-12 (the pre-2024 "2020 revision" which covers the 2022 era) and 2024-10-01 (the current revision). Now I'll compare them, and also check the de minimis rate section (200.414 is the main one, but I should also check the de minimis and negotiated rate sections).Ecfr compare regulationsEcfr compare regulationsI have a thorough diff. Now let me check if the de minimis rate appeared anywhere else — specifically the old "10%" language vs the new "15%" and also any changes in how the rate dispute process works. I have everything I need from the full text comparison. Let me synthesize this into a clear, well-organized answer.
Here is a section-by-section analysis of the changes to 2 CFR § 200.414 (Indirect Costs) between the 2020 revision (effective during 2022) and the current 2024 revision (effective October 1, 2024).
Changes to 2 CFR § 200.414: 2022 vs. Current (2024)
1. De Minimis Rate Increased from 10% to 15% — and Made Flexible (§ 200.414(f))
This is the most significant practical change. Under the 2020 version in effect during 2022, the de minimis rate was a fixed 10% of modified total direct costs (MTDC). The 2024 revision changes this in several ways:
The rate is now "up to 15%" of MTDC. Importantly, it is no longer a single fixed rate — the recipient or subrecipient is authorized to choose any rate up to the 15% ceiling.
A new protection was added: federal agencies and pass-through entities may not require recipients or subrecipients to use a de minimis rate lower than their negotiated rate or their elected rate, unless required by statute or regulation.
The 2024 version explicitly states the de minimis rate must not be applied to FAR-based cost reimbursement contracts issued directly by the federal government — this restriction was not present in the 2022 version.
The old "once elected, must be used consistently for all Federal awards" language is preserved, but the exit mechanism is now described as the recipient choosing to "receive a negotiated rate" (slightly streamlined phrasing).
Bottom line: Recipients and subrecipients without a negotiated rate gained significantly more flexibility and a higher ceiling.
2. Disputes Over Negotiated Rates — Recipient Notification Right Added (§ 200.414(c)(2))
The 2020 version only required the federal awarding agency head or delegate to notify OMB of any approved deviations from a negotiated rate.
The 2024 version retains that requirement but adds a new right: the recipient or subrecipient may now notify OMB of any disputes with federal agencies regarding the application of a federally negotiated indirect cost rate. This is a meaningful addition — it gives recipients a formal avenue to flag disagreements directly with OMB rather than being solely subject to agency decisions.
3. Tightened Language on Who Can Approve Rate Deviations (§ 200.414(c)(1))
The 2020 version required deviations to be approved by a "Federal awarding agency head or delegate based on documented justification." The 2024 version simplifies this to approval by "the awarding Federal agency" in accordance with its published policies. The explicit "head or delegate" hierarchy and documented justification language were removed, though agencies are still required to publish their deviation policies publicly under § 200.414(c)(3).
4. Pass-Through Entity Obligations Strengthened (§ 200.414(d))
The 2020 version simply cross-referenced § 200.332(a)(4). The 2024 version rewrites this paragraph to affirmatively state that pass-through entities "must accept all federally negotiated indirect cost rates for subrecipients" — making the obligation explicit rather than relying on a cross-reference to find it. The cross-reference was also updated to § 200.332(b)(4).
5. One-Time Rate Extension — Subsequent Extensions Eliminated (§ 200.414(g))
The 2020 version explicitly permitted subsequent one-time extensions (up to four years each), provided a renegotiation was completed between extension requests. That language is entirely removed in the 2024 revision. The current version allows only a single one-time extension of up to four years; after the extension ends, the recipient must re-apply and negotiate a new rate, and may then apply for a one-time extension of the new rate — but the explicit permission for serial extensions under the same rate agreement is gone.
6. Public Availability of Negotiated Rates — Old § 200.414(h) Removed
The 2020 version contained a paragraph (h) requiring the federally negotiated indirect rate, distribution base, and rate type for non-federal entities to be publicly available on an OMB-designated federal website (with a carve-out for Indian tribes). This entire paragraph was dropped in the 2024 revision. The public transparency obligation may have been relocated elsewhere or operationally absorbed into existing systems, but it no longer appears explicitly in § 200.414.
7. Terminology Cleanup Throughout
The section title itself changed from "Indirect (F&amp;A) costs" to simply "Indirect costs." The "(F&amp;A)" parenthetical — referring to Facilities and Administration — is dropped throughout the section, as the 2024 revision uses "indirect costs" as the consolidated term. The definition of what qualifies as Facilities and Administration for IHEs and major nonprofits is substantively unchanged, though some minor drafting was streamlined (e.g., the old reference to "Rate Determination for Institutions of Higher Education paragraph C.11" as a definition of major IHEs was removed; the current version simply points to Appendix III).
Practical Takeaways for Research Administrators
Issue2022 (2020 Revision)Current (2024 Revision)De minimis rateFixed 10%Flexible, up to 15%Rate dispute recourseAgencies notify OMB onlyRecipients may also notify OMBSerial rate extensionsPermitted with renegotiationNot explicitly permittedPass-through entity dutyCross-referencedExplicitly statedPublic rate transparencyRequired in § 200.414(h)Removed from this section
Note: These findings are grounded in the regulatory text as retrieved from the eCFR. Always verify applicability with your institution's compliance office and the cognizant agency for indirect costs, as agency-specific guidance (e.g., NIH Grants Policy Statement) may impose additional requirements not reflected in the CFR text alone. The current version is effective as of October 1, 2024.</t>
  </si>
  <si>
    <t>Network Connection Failed</t>
  </si>
  <si>
    <t>Good, I have the skill guidance. Now let me fetch the version history for the indirect cost sections in 2 CFR Part 200 to find valid dates for comparison.Loaded tools, used ecfr integrationLoaded tools, used ecfr integrationLoading toolsResultEEcfr get title versionsResultDoneThe latest amendment date is 2024-10-01. The major 2024 revision took effect on that date. Now let me get versions specifically for § 200.414 (indirect cost rate) to find a good 2022 comparison date, then run the comparison.Ecfr get title versionsEcfr get title versionsThe versions are 2020-11-12 (which would have been the text in 2022) and 2024-10-01 (the current version). Let me now compare those two dates for § 200.414, and also check § 200.331 (indirect cost rate agreements for pass-through entities) and Appendix IV (indirect cost rates for nonprofit organizations).Ecfr compare regulationsEcfr compare regulationsI now have everything I need for a comprehensive analysis. The diff is very rich. Let me synthesize the key policy changes clearly.
Here is a detailed analysis of the indirect cost policy changes between the pre-2024 version of 2 CFR § 200.414 (as it stood through 2022) and the current version (effective October 1, 2024), based on the live eCFR comparison.
Indirect Cost Policy Changes: 2 CFR § 200.414 (2022 vs. 2024)
The October 1, 2024 revision to the Uniform Guidance made several substantive policy changes to § 200.414. The section was also retitled — dropping "(F&amp;A)" from the heading to read simply "Indirect costs" throughout.
1. De Minimis Rate Increased from 10% to up to 15% of MTDC (§ 200.414(f))
This is the single most significant practical change for most organizations.
Prior rule (through 2022): Recipients without a negotiated rate could elect a flat 10% de minimis rate on MTDC, used indefinitely once elected.
Current rule (effective 2024-10-01): Recipients and subrecipients without a negotiated rate may now elect a de minimis rate of up to 15% of MTDC. Importantly, the organization itself is authorized to determine its own appropriate rate anywhere up to that ceiling — it is no longer a single fixed rate. Additionally:
Federal agencies and pass-through entities are explicitly prohibited from requiring recipients to use a de minimis rate lower than the negotiated rate or the elected rate, unless required by statute or regulation.
The phrase "except for those non-Federal entities described in appendix VII" (which created a carve-out for certain state/local entities) was removed, simplifying eligibility.
The new text makes explicit that the de minimis rate does not apply to cost-reimbursement contracts under the FAR.
Practical implication: Organizations without a NICRA — particularly small nonprofits and newer grantees — can now recover meaningfully more overhead, and awarding agencies have less discretion to cap their recovery below the elected or negotiated rate.
2. Agency Deviation Authority Narrowed (§ 200.414(c)(1))
Prior rule: A federal awarding agency head or delegate could approve a deviation from a negotiated rate based on "documented justification."
Current rule: The approval authority is reframed — deviations are permitted only "when approved by the awarding Federal agency in accordance with paragraph (c)(3)," removing the explicit reference to an agency head/delegate and the "documented justification" standard as a standalone basis. The procedural requirement (publicly available policies and decision-making criteria) remains in paragraph (c)(3), but the threshold language for approval is simplified.
Current rule also adds: Recipients and subrecipients now have an explicit right to notify OMB of any disputes with Federal agencies regarding application of a federally negotiated indirect cost rate (§ 200.414(c)(2)). This dispute notification right was entirely absent from the prior version.
3. Pass-Through Entity Obligations Strengthened (§ 200.414(d))
Prior rule: Pass-through entities were "subject to the requirements in § 200.332(a)(4)" — a relatively brief cross-reference.
Current rule: The provision now affirmatively states that pass-through entities "must accept all federally negotiated indirect cost rates for subrecipients," in addition to the updated cross-reference to § 200.332(b)(4). This makes the obligation explicit on the face of the statute rather than implicit through cross-reference alone.
4. One-Time Rate Extension — "Subsequent Extensions" Language Removed (§ 200.414(g))
Prior rule: After a four-year extension expired and a new rate was negotiated, the entity could "again apply for a one-time extension" — effectively allowing a perpetual cycle of extensions.
Current rule: The language permitting subsequent extensions after renegotiation was removed. An entity may still apply for one four-year extension, but the prior text explicitly permitting repeated cycles is gone. The new text simply states the entity "may again apply for a one-time extension of the new rate in accordance with this paragraph," which reads similarly — but the prior version's explicit "subsequent one-time extensions (up to four years) are permitted if a renegotiation is completed between each extension request" clause has been dropped. This is a subtle but potentially meaningful tightening.
5. Public Posting Requirement for Negotiated Rates Removed (§ 200.414(h))
Prior rule: Paragraph (h) required that the federally negotiated indirect rate, distribution base, and rate type for a non-Federal entity be available publicly on an OMB-designated Federal website (with an exception for Indian tribes and tribal organizations).
Current rule: This entire paragraph was deleted from § 200.414. The transparency requirement no longer appears in this section. (It may be addressed through other OMB mechanisms or agency-level policy, but it is no longer a regulatory mandate in § 200.414 itself.)
Summary Table
Policy Area2022 Version2024 VersionSection title"Indirect (F&amp;A) costs""Indirect costs"De minimis rateFixed 10% of MTDCUp to 15% of MTDC (recipient-determined)Agency deviation authorityAgency head/delegate + documented justificationPer publicly available program criteriaRecipient dispute rightsNoneMay notify OMB of disputesPass-through obligationsCross-reference onlyExplicit duty to accept all NICRA ratesRate extension cyclesSubsequent extensions permitted after renegotiationSubsequent extension language removedPublic posting of negotiated ratesRequired (§ 414(h))Paragraph deleted
As of 2024-10-01, per 2 CFR § 200.414. These changes were part of OMB's comprehensive 2024 Uniform Guidance revision. Because the de minimis rate increase and the restriction on agency override of elected rates are the most operationally significant changes, organizations that have been using the 10% de minimis rate should consult their sponsored programs office about whether to elect a higher rate under the new authority. Verify any compliance decisions with your institutional counsel or grants management office, as agency-specific implementation may vary.</t>
  </si>
  <si>
    <t>Good. Now I'll get the version history for the indirect cost sections to identify valid comparison dates, then run the comparison.Loaded tools, used ecfr integrationLoaded tools, used ecfr integrationLoading toolsResultEEcfr get title versionsResultDoneThe latest amendment date is 2024-10-01. Now I need to find a valid 2022 date. Let me get versions filtered to that period, and then compare the key indirect cost sections (§ 200.414 — indirect cost rate, and § 200.412 — cost allocation).Ecfr get title versionsEcfr get title versionsThe last amendment before end of 2022 is 2021-05-11, and the current version is 2024-10-01. Now I'll compare § 200.414 (Indirect F&amp;A costs) and § 200.413 (Direct costs) between those two dates.Ecfr compare regulationsEcfr compare regulationsExcellent — rich data. Now let me check § 200.413 (Direct costs) and also the indirect cost rate negotiation/de minimis definition section to see if anything in § 200.1 changed related to indirect costs.Ecfr compare regulationsEcfr compare regulationsI now have all the substantive data needed. Let me compile a thorough analysis.
Here is a detailed comparison of the indirect cost policy changes between the pre-2022 version of 2 CFR Part 200 (as last amended May 11, 2021) and the current version (effective October 1, 2024), based on live eCFR text. All citations are to the current regulation unless noted.
Indirect Cost Policy Changes: 2 CFR Part 200 (2021 → 2024)
§ 200.414 — Indirect Costs (formerly "Indirect (F&amp;A) Costs")
1. Title and Terminology
The section title was shortened from "Indirect (F&amp;A) Costs" to "Indirect costs." Throughout, the 2024 revision strips out the parenthetical "(F&amp;A)" from the body text as well, replacing it with simply "indirect costs." This reflects a broader plain-language effort running across the 2024 revision.
2. De Minimis Rate: Raised from 10% to Up to 15% — and Recipients Now Set Their Own Rate (§ 200.414(f))
This is the most consequential practical change for smaller organizations.
Before (2021): Recipients without a negotiated rate could charge a flat 10% of MTDC, used indefinitely.
After (2024): Recipients and subrecipients without a negotiated rate may now elect up to 15% of MTDC. Critically, the recipient or subrecipient is authorized to determine the appropriate rate up to this ceiling — they are no longer locked into a single fixed number.
Additional new protections were added:
Federal agencies and pass-through entities may not require recipients to use a de minimis rate lower than the negotiated rate or the rate the recipient elected — unless required by statute or regulation.
The de minimis rate must not be applied to cost-reimbursement contracts issued directly by the Federal Government under the FAR.
Recipients are not required to use the de minimis rate at all.
The 2024 version also removed the prior exception language for entities described in Appendix VII paragraph D.1.b, simplifying who may use the rate.
3. One-Time Rate Extension: Repeating Extensions Eliminated (§ 200.414(g))
Before (2021): After a one-time four-year extension expired, the entity renegotiated — and then could apply for another one-time extension. The regulation explicitly stated "Subsequent one-time extensions (up to four years) are permitted if a renegotiation is completed between each extension request."
After (2024): After a renegotiation, the recipient may again apply for a one-time extension — but the language no longer describes this as a clearly repeating cycle. The word "subsequent" and the explicit cycle language were removed, and the section is now more narrowly drafted. In practice, entities should not assume unlimited consecutive extensions will be administratively straightforward.
4. Pass-Through Entity Obligations Strengthened (§ 200.414(d))
Before (2021): Pass-through entities were simply "subject to the requirements in § 200.332(a)(4)."
After (2024): Pass-through entities are subject to § 200.332(b)(4) and must accept all federally negotiated indirect cost rates for subrecipients. The affirmative obligation to accept negotiated rates is now stated explicitly in § 200.414, not just cross-referenced.
5. Deviation Notification: Recipient/Subrecipient Dispute Rights Added (§ 200.414(c)(2))
Before (2021): Only the Federal awarding agency head or delegate was required to notify OMB of approved deviations from negotiated rates. Institutions had no recourse named in the regulation.
After (2024): The same agency notification obligation remains, but a new sentence was added: "The recipient or subrecipient may notify OMB of any disputes with Federal agencies regarding the application of a federally negotiated indirect cost rate." This is a meaningful new protection for recipients whose negotiated rates are not being honored.
6. Deviation Approval Authority Streamlined (§ 200.414(c)(1))
Before (2021): Deviations required approval by "a Federal awarding agency head or delegate based on documented justification."
After (2024): Deviations require approval "by the awarding Federal agency in accordance with paragraph (c)(3)." The requirement to justify through a named individual (head or delegate) with documented justification is dropped from this paragraph — it is subsumed into the process described in (c)(3).
7. Public Availability of Negotiated Rates: Paragraph (h) Removed
Before (2021): § 200.414(h) required that the federally negotiated indirect rate, distribution base, and rate type for non-Federal entities must be publicly available on an OMB-designated Federal website (with a tribal exception).
After (2024): This paragraph is entirely gone. The transparency requirement for public posting of negotiated rates no longer appears in § 200.414. Institutions should check whether this obligation migrated elsewhere or was intentionally removed.
§ 200.413 — Direct Costs (Relevant to Indirect Cost Rate Determination)
8. Administrative/Clerical Staff: Prior Approval Condition Removed (§ 200.413(c))
Before (2021): Direct charging of administrative/clerical salaries required meeting four conditions, one of which was that "such costs are explicitly included in the budget or have the prior written approval of the Federal awarding agency."
After (2024): That prior-approval condition is gone. Only three conditions remain: the services must be integral to the award, individuals must be specifically identifiable with the award, and costs must not also be recovered as indirect costs. This simplifies the path to direct-charging admin/clerical salaries.
9. Direct Cost Examples Expanded (§ 200.413(b))
The 2024 revision expanded the list of costs that may be treated as direct rather than indirect when "directly related to a specific award." The new list adds: cybersecurity, integrated data systems, asset management systems, performance management costs, and program evaluation costs — reflecting that modern research operations involve IT infrastructure and administrative systems that may legitimately be direct.
Summary Table
IssuePre-2022 (2021-05-11)Current (2024-10-01)De minimis rateFixed 10% of MTDCUp to 15% of MTDC; recipient sets rateAgency rate floor protectionNot statedAgencies/PTEs may not require rate below elected rateDe minimis FAR exclusionNot statedRate cannot be applied to FAR cost-reimbursement contractsRepeat rate extensionsExplicitly permitted after renegotiationNo longer explicitly authorizedPTE obligation on negotiated ratesCross-reference onlyAffirmative acceptance obligation in § 200.414(d)Recipient dispute rights on deviationsNoneMay notify OMB of disputesPublic posting of negotiated ratesRequired (§ 200.414(h))Paragraph removedAdmin/clerical direct charging4 conditions incl. prior approval3 conditions; prior approval removedDirect cost examplesMore limitedExpanded to include cybersecurity, data systems, etc.
Important caveat: These changes reflect the regulatory text in the eCFR. Agency-specific supplemental terms and conditions — particularly from NIH, NSF, and DOD — may impose stricter requirements than the Uniform Guidance baseline. Your institution's sponsored programs office and negotiated rate agreement (NICRA) remain authoritative for your specific situation. Confirm with your cognizant agency (typically DHHS or ONR) for any questions about your current rate agreement.</t>
  </si>
  <si>
    <t>Many tools accessed</t>
  </si>
  <si>
    <t>Good — the skill tells me to get version history first, then compare. Let me get the amendment dates for the indirect cost sections of 2 CFR Part 200, then run comparisons for the key provisions.Loaded tools, used ecfr integrationLoaded tools, used ecfr integrationLoading toolsResultEEcfr get title versionsResultDoneThe key dates I need are: the 2020 pre-revision baseline (representing the "2022" era before the 2024 revision), and the current 2024-10-01. Let me get versions specifically for the main indirect cost section (§ 200.414) and the de minimis rate section (§ 200.414 and § 200.332 for subawards), plus check what dates exist.Ecfr get title versionsEcfr get title versionsThe pre-2024 version was last substantively amended 2020-11-12. Now let me compare the two versions of § 200.414, and also check related sections on the de minimis rate and indirect cost negotiation.Ecfr compare regulationsEcfr compare regulationsExcellent — I now have the full text of both versions. Let me also quickly check § 200.332 (subaward indirect cost requirements) for any changes there.Used ecfr integrationUsed ecfr integrationEEcfr get title versionsResultEEcfr compare regulationsResultDoneI now have everything I need for a thorough analysis. Here is a comprehensive breakdown of the indirect cost policy changes between the pre-2024 Uniform Guidance (last substantively amended 2020-11-12) and the current 2024-10-01 revision of 2 CFR Part 200.
Indirect Cost Policy Changes: 2 CFR § 200.414 (2020 → 2024)
The 2024 revision (effective October 1, 2024) made several substantive policy changes to indirect cost rules. Here's what changed, grounded in the actual regulatory text fetched from the eCFR.
1. De Minimis Rate Raised from 10% to 15% MTDC — and Made Flexible
Per 2 CFR § 200.414(f) — this is the most significant practical change for many organizations.
The prior rule (2020-11-12 text) set a fixed de minimis rate of exactly 10% of MTDC. Organizations either used it or didn't — there was no discretion on the rate itself.
The current rule (2024-10-01) raises the ceiling to up to 15% of MTDC and introduces organizational flexibility: "The recipient or subrecipient is authorized to determine the appropriate rate up to this limit." This means an organization can elect any rate between 0% and 15%, rather than a binary choice between 10% or nothing.
Additionally, the 2024 version adds an important new protection: Federal agencies and pass-through entities may not require recipients or subrecipients to use a de minimis rate lower than their negotiated rate or their elected rate, unless required by statute or regulation. This new anti-coercion language was absent from the prior text.
The 2024 version also explicitly states the de minimis rate must not be applied to cost reimbursement contracts issued directly by the Federal Government under the FAR — a clarification not present in prior text.
2. Removal of the "Subsequent One-Time Extensions" Permission — § 200.414(g)
The prior § 200.414(g) included an important sentence that has been deleted in the 2024 version:
"Subsequent one-time extensions (up to four years) are permitted if a renegotiation is completed between each extension request."
The 2024 text simply states the organization "may again apply for a one-time extension of the new rate in accordance with this paragraph" — preserving serial extensions, but removing the explicit clarification that renegotiation between each extension is required. This tightens the framing but the practical availability of serial extensions remains.
3. Removal of the Public Transparency Requirement — Former § 200.414(h)
The prior text had a paragraph (h) requiring that federally negotiated indirect rates, distribution bases, and rate types be publicly available on an OMB-designated website (with an exception for Indian tribes). This entire paragraph has been deleted from the 2024 revision. Organizations should verify with their compliance offices whether this requirement has been relocated elsewhere in guidance or effectively removed.
4. Pass-Through Entity Obligations Strengthened — § 200.414(d)
The prior § 200.414(d) was a single terse sentence: "Pass-through entities are subject to the requirements in § 200.332(a)(4)."
The 2024 version expands this to: "Pass-through entities are subject to the requirements in § 200.332(b)(4) and must accept all federally negotiated indirect cost rates for subrecipients." The explicit mandate to accept negotiated rates — rather than merely cross-referencing another section — is new and meaningful. This reinforces the anti-coercion principle at the pass-through level.
5. Deviation Approval Standard Relaxed for Federal Agencies — § 200.414(c)(1)
The prior rule required that a deviation from a negotiated rate be "approved by a Federal awarding agency head or delegate based on documented justification." The 2024 version drops the requirement that the approval come from an agency head or delegate and replaces it with approval by "the awarding Federal agency in accordance with paragraph (c)(3)." This is a modest relaxation of the internal approval authority standard.
6. Dispute Notification Right Added for Recipients — § 200.414(c)(2)
The 2024 § 200.414(c)(2) adds a new right that did not exist before: "The recipient or subrecipient may notify OMB of any disputes with Federal agencies regarding the application of a federally negotiated indirect cost rate." This is a new escalation pathway for organizations who believe an agency is improperly overriding their negotiated rate.
7. Notice of Funding Opportunity Scope Narrowed — § 200.414(c)(4)
The prior rule required agencies to include in NOFOs "the policies relating to indirect cost rate reimbursement, matching, or cost share." The 2024 version drops "matching" from this requirement, narrowing it to "indirect cost rate reimbursement or cost share."
Related Change in § 200.332 (Pass-Through Entities)
The 2024 revision to § 200.332 reorganized the pass-through entity section substantially, including introducing a new fraud risk evaluation requirement (§ 200.332(c)) that explicitly asks pass-through entities to assess subrecipient fraud risk — not just noncompliance risk. The indirect cost rate disclosure requirement at § 200.332(b)(4) (formerly (a)(4)) was retained but cross-references updated to align with the revised § 200.414(f) de minimis provisions.
Summary Table
ProvisionPre-2024 (2020)Current (2024)De minimis rateFixed 10% MTDCUp to 15% MTDC (recipient chooses)Agency coercion of de minimis rateNo explicit prohibitionProhibited unless by statute/regulationFAR contract exclusionNot statedExplicitly excludedSerial rate extensionsPermitted with renegotiation between eachPermitted; clarifying language removedPublic rate transparency (former §(h))Required on OMB websiteDeletedPass-through acceptance of negotiated ratesCross-reference onlyExplicit mandate addedDeviation approval authorityAgency head or delegateAwarding agency (lower threshold)Recipient OMB dispute rightNoneNew right addedNOFO indirect cost disclosure scopeReimbursement, matching, or cost shareReimbursement or cost share (matching dropped)
Important caveat: These comparisons reflect the regulatory text as amended. Some agency-specific policies — particularly NIH, NSF, and DOD — may impose additional requirements or have not yet updated their award terms to align with the 2024 revision. I'd recommend verifying implementation with your cognizant agency and institutional compliance office, particularly regarding the de minimis rate increase and the deleted public transparency provision.</t>
  </si>
  <si>
    <t>Loading tools
Result
E
Ecfr search
Result
E
Ecfr search
Result
E
Ecfr search
Result
E
Ecfr get regulation
Result
E
Ecfr search
Result
E
Ecfr get regulation
Result
E
Ecfr get regulation
Result
Done
This is a situation the Uniform Guidance addresses in some detail. Here's what the regulations say, grounded in the current text (as of 2024-10-01):
When a no-cost extension is denied and the project cannot be completed by the end date, the award enters closeout — and the consequences can be significant.
What triggers closeout
Per 2 CFR § 200.344(a), the federal agency must proceed with closeout based on the information available when a recipient "fails to complete the necessary administrative actions or the required work for an award." There's no regulatory mechanism that extends the period of performance without agency approval — once the end date passes without an approved extension, the award is over.
Your closeout obligations still apply
Even if the project is incomplete, you still must:
Submit all final reports (financial, performance, and other) within 120 calendar days after the end of the period of performance (§ 200.344(b)).
Liquidate all financial obligations within that same 120-day window (§ 200.344(c)).
Return any unobligated Federal funds not authorized to be retained (§ 200.344(e)).
Account for any federally-funded property in accordance with §§ 200.310–200.316 (§ 200.344(g)).
Consequences for incomplete work / non-compliance
If you fail to submit required final reports, 2 CFR § 200.344(i) requires the federal agency to report your "material failure to comply with the terms and conditions" in SAM.gov via CPARS — a reputational and competitive risk for future awards.
Beyond that, 2 CFR § 200.339 gives the agency a menu of enforcement remedies, which can include:
Disallowing costs associated with the incomplete work
Withholding future award or continuation funding
Suspension or termination of the award
Suspension or debarment proceedings (in serious cases)
What you can still do
Before giving up, it's worth knowing that under 2 CFR § 200.308(g)(2), a recipient may initiate a one-time extension of up to 12 months without prior approval if the award terms permit it — but notice must be given at least 10 calendar days before the end date, and it cannot be used solely to spend unobligated balances. If that window has passed or the agency has prohibited it, that option is off the table.
The regulation also explicitly allows agencies to approve multiple no-cost extensions (§ 200.308(f)(10)) if not prohibited by statute or regulation, so a denial is not always the final word — escalating with additional justification before the end date may be an option worth exploring.
Practical takeaways
Costs incurred after the period of performance end date are generally unallowable.
Incomplete work does not eliminate closeout reporting obligations.
A failed NCE that results in unfinished project objectives can affect the PI's/institution's track record in SAM.gov.
Institutional sponsored programs offices should be consulted immediately — some agencies have informal remedies or appeal pathways not codified in the CFR.
Would you like me to look up anything specific, such as unallowable costs after period of performance, or a particular agency's supplement to these rules?</t>
  </si>
  <si>
    <t>Good, now let me look up the relevant regulations on no-cost extensions and what happens when awards end.Used ecfr integration, loaded toolsUsed ecfr integration, loaded toolsLoading toolsResultEEcfr get regulationResultEEcfr get regulationResultEEcfr get regulationResultEEcfr get regulationResultEEcfr get regulationResultDoneHere's a thorough breakdown of what happens when a project cannot be completed by the end date and a no-cost extension (NCE) is denied, grounded in the Uniform Guidance (2 CFR Part 200) as of October 1, 2024.
The period of performance ends as scheduled.
Per 2 CFR § 200.309, the period of performance ends on the date in the award document unless formally amended. A denied NCE means no amendment occurs, and the award closes on its original end date.
Costs incurred after the end date are not allowable.
Any costs charged to the award after the period of performance ends are unallowable under the cost principles in Subpart E. The institution bears those costs — the federal government will not reimburse them.
Closeout obligations are triggered immediately.
Under 2 CFR § 200.344, once the period of performance concludes:
All final reports (financial, performance, and other required reports) must be submitted within 120 calendar days (recipients) or 90 calendar days (subrecipients) after the end date.
All financial obligations must be liquidated within those same timeframes.
Any unobligated federal funds must be promptly returned — you cannot retain them simply because work remains incomplete.
If final reports are not submitted, the agency must report the recipient's material failure to comply in SAM.gov, which can affect future award eligibility.
Incomplete work is a program problem, not just an administrative one.
If the scope of work is not completed, the agency may treat the failure as noncompliance. Under 2 CFR § 200.339, the agency has a range of remedies available, including:
Disallowing costs associated with the noncompliance
Withholding further federal funding (new awards or continuations)
Initiating suspension or debarment proceedings in serious cases
Ongoing responsibilities survive closeout.
Even after closeout, certain obligations continue under 2 CFR § 200.345, including record retention, property management, audit requirements, and the right of the agency to disallow costs on a later audit.
Practical takeaways for research administrators:
If NCE denial is anticipated, prioritize spending down allowable costs and documenting deliverables before the end date.
Communicate proactively with the program officer — some agencies may offer alternative solutions (e.g., a partial scope modification or carry-forward of remaining work into a new award).
Make sure closeout reports are submitted on time regardless; late or missing reports create a SAM.gov record that can seriously affect future funding competitiveness.
Remember the one-time, self-initiated 12-month extension option under 2 CFR § 200.308(g)(2) — if the institution hasn't already used that, it may be available before a formal NCE request is even necessary (unless the terms and conditions of the award prohibit it).
One important caveat: some agencies (notably NIH and NSF) have their own supplemental policies that layer on top of the Uniform Guidance. Always check the agency's grants policy statement and the specific award terms and conditions, as those may be stricter than the baseline CFR requirements. When in doubt, consult your sponsored programs office or legal counsel.</t>
  </si>
  <si>
    <t xml:space="preserve">Loading tools
Result
E
Ecfr search
Result
E
Ecfr search
Result
E
Ecfr search
Result
Done
Now let me fetch the key Uniform Guidance sections on closeout and period of performance:
Used ecfr integration
Used ecfr integration
E
Ecfr get regulation
Result
E
Ecfr get regulation
Result
E
Ecfr get regulation
Result
E
Ecfr get regulation
Result
Done
Here's a thorough answer grounded in the current Uniform Guidance (2 CFR Part 200, as of October 1, 2024).
What Happens When a Project Can't Be Completed and a No-Cost Extension Is Denied
The Short Answer
If the period of performance ends and no extension has been approved, the award expires. Any work not completed by that date is simply not completed under that award. The institution must then proceed through closeout and may face consequences depending on whether project objectives were achieved.
1. The Period of Performance Closes — Hard Stop
Per 2 CFR § 200.309, the period of performance ends on the award end date. Without an approved extension, there is no regulatory authority to incur new costs or conduct work under the award after that date. Costs incurred after the period of performance ends are generally unallowable.
2. Closeout Obligations Begin
Under 2 CFR § 200.344, once the period of performance ends, the recipient must:
Submit all final reports (financial and performance) no later than 120 calendar days after the end date
Liquidate (pay) all financial obligations incurred during the period of performance — also within 120 days
Refund any unobligated funds not authorized to be retained (§ 200.344(e))
Account for property acquired under the award in accordance with §§ 200.310–200.316
If the recipient fails to submit reports or comply with closeout, the federal agency is required under § 200.344(i) to report the material failure in SAM.gov (using CPARS), which can affect future funding eligibility.
3. Incomplete Work ≠ Automatic Noncompliance — But It Can Become One
An extension denial doesn't automatically mean the institution is in breach, but the Federal agency will evaluate the final performance report. If the project objectives were substantially unmet, the agency may:
Disallow costs associated with the incomplete work (§ 200.339(b))
Withhold future continuation or renewal funding for the program (§ 200.339(e))
Impose specific conditions on future awards (§ 200.208)
In serious cases, pursue suspension or debarment proceedings (§ 200.339(d))
4. A Note on the One-Time Extension Option
Before a denial becomes final, it's worth knowing that 2 CFR § 200.308(g)(2) allows recipients to initiate a one-time, self-authorized extension of up to 12 months without prior agency approval, provided:
The award terms don't prohibit it
No additional federal funds are needed
The scope isn't changing
The sole purpose isn't to spend unobligated balances
Written notification is given to the agency at least 10 calendar days before the period ends
For research awards specifically, this one-time extension authority is generally automatically available unless the agency's terms restrict it (§ 200.308(h)). If a formal NCE request was denied but this self-authorization pathway hasn't been explored, it may still be an option — check your award terms carefully.
Practical Takeaways
Situation	Regulatory Consequence
Work incomplete, end date passed	New costs unallowable; closeout required
Final reports not submitted within 120 days	Agency reports failure in SAM.gov
Unspent funds not returned	Agency can pursue recovery
Objectives substantially unmet	Costs may be disallowed; future funding jeopardized
One-time self-extension not yet used	May still be available if terms permit — check § 200.308(g)(2)
The practical advice: work closely with your sponsored programs office, notify the program officer immediately, document the circumstances thoroughly, and submit the strongest possible final report explaining what was accomplished and why the work could not be completed. Agencies have discretion, and proactive communication matters.
As of 2 CFR § 200.344 and § 200.308, effective October 1, 2024. Always verify currency with your compliance office and the specific award's terms and conditions, as agency-specific regulations and grant terms may impose stricter requirements.
</t>
  </si>
  <si>
    <t>Loading tools
Result
E
Ecfr get title versions
Result
E
Ecfr get regulation
Result
E
Ecfr get title versions
Result
E
Ecfr get regulation
Result
E
Ecfr get regulation
Result
Done
This is an important scenario that every research administrator should understand. Here's what the Uniform Guidance says happens when a project can't be completed and a no-cost extension (NCE) is denied.
When a No-Cost Extension Is Denied: The Regulatory Framework
The relevant provisions are in 2 CFR Part 200, as amended effective October 1, 2024.
1. The Project Must Proceed to Closeout
Per 2 CFR § 200.344(a), when a recipient fails to complete the required work by the end of the period of performance, the federal agency or pass-through entity must proceed with closeout anyway — based on whatever information is available. There is no regulatory mechanism to simply "pause" a project in place.
2. Closeout Obligations Still Apply — In Full
The recipient remains bound by all standard closeout requirements:
Final reports (financial, performance, and any others required by the award) must be submitted no later than 120 calendar days after the period of performance ends (§ 200.344(b)).
All financial obligations must be liquidated no later than 120 calendar days after the end of the period of performance (§ 200.344(c)).
Any unobligated federal funds must be promptly refunded (§ 200.344(e)).
Property acquired with federal funds must be accounted for per §§ 200.310–200.316 (§ 200.344(g)).
3. Failure to Comply Triggers Adverse Consequences
If the recipient fails to submit final reports or otherwise comply with closeout requirements, § 200.344(i) requires the federal agency to report the institution's material failure to comply in SAM.gov via the Contractor Performance Assessment Reporting System (CPARS). This is a reputational and competitive consequence that can affect future award eligibility.
Beyond that, § 200.339 gives the agency a menu of remedies for noncompliance, including:
Temporarily withholding payments
Disallowing costs for all or part of the activity
Suspending or terminating the award (in part or entirely)
Initiating suspension or debarment proceedings
Withholding future federal funds — new awards or continuation funding
Pursuing other legally available remedies
Practical Implications
In plain terms, if an NCE is denied and the work is incomplete:
Unspent funds are returned — you cannot spend federal funds after the period of performance ends without authorization.
Work performed but unreported may become disallowable — if the agency deems costs were incurred without proper authorization or for incomplete work, it can disallow them.
The incomplete project is a matter of record — the SAM.gov reporting requirement means future reviewers (including other federal program officers) can see the institution failed to meet award terms.
It is not the end of the world, but it has consequences — if the PI can document good-faith effort and the work was substantially complete, agencies often work with institutions during closeout. The regulations require the agency to complete closeout within one year (§ 200.344(h)).
A note on agency-specific rules: The Uniform Guidance sets the floor. Individual agencies (NIH, NSF, DOE, etc.) may have stricter or more specific requirements in their agency regulations or grant policy statements. Always check the terms of the specific award and consult your sponsored programs office before the end date arrives. An NCE denial is sometimes appealable or a partial extension may be available — it's worth exhausting those options before closeout begins.</t>
  </si>
  <si>
    <t>Loading tools
Result
E
Ecfr search
Result
E
Ecfr search
Result
E
Ecfr get title versions
Result
E
Ecfr get regulation
Result
E
Ecfr get regulation
Result
Done
Here's what the Uniform Guidance says about this situation, grounded in the current regulatory text.
When a No-Cost Extension Is Denied and Work Is Incomplete
Per 2 CFR § 200.344 (as of October 1, 2024), the regulations are pragmatic but have real teeth.
The Federal Agency Must Still Proceed with Closeout
Under § 200.344(a), when a recipient fails to complete the required work for an award, the federal agency or pass-through entity must proceed with closeout based on the information available — it does not wait indefinitely. Closeout happens regardless of whether the work is done.
Your Post-Period-of-Performance Obligations Still Apply
Even though the project is incomplete, you still must:
Submit all final reports (financial, performance, and other) no later than 120 calendar days after the conclusion of the period of performance (§ 200.344(b))
Liquidate all financial obligations incurred under the award within the same 120-calendar-day window (§ 200.344(c))
Promptly refund any unobligated funds not authorized to be retained (§ 200.344(e))
Account for any federally-funded property in accordance with §§ 200.310–200.316 and 200.330 (§ 200.344(g))
Costs Incurred After the Period of Performance End Date Are Not Allowable
Any costs incurred after the end date are generally unallowable under 2 CFR Subpart E cost principles. If work hasn't been completed, the agency will deobligate the unused funds — you can't simply spend down the balance after the award ends.
Consequences for Failure to Comply
If you don't comply with closeout requirements — including submitting all final reports — § 200.344(i) requires the federal agency to report your organization's material failure to comply in SAM.gov using the Contractor Performance Assessment Reporting System (CPARS). This is a serious reputational consequence that can affect future award eligibility.
Beyond that, under § 200.339 (Remedies for Noncompliance), the agency may also:
Temporarily withhold payments
Disallow costs (i.e., demand repayment)
Suspend or terminate the award
Initiate suspension or debarment proceedings
Withhold future federal funding
Practical Guidance
Before accepting a denial as final, consider whether there are options to appeal or escalate within the agency. Also check whether a partial no-cost extension or scope modification might address the situation. The Uniform Guidance itself doesn't specify appeal procedures for NCE denials — those are governed by agency-specific policies (e.g., NIH Grants Policy Statement, NSF PAPPG), so reviewing your specific agency's guidance is important.
Disclaimer: I'm not a lawyer or sponsored programs attorney. This analysis is based on the current regulatory text of 2 CFR Part 200 and should be reviewed alongside your agency's specific terms, your institution's compliance office, and legal counsel as appropriate.</t>
  </si>
  <si>
    <t>Loading tools
Result
E
Ecfr search
Result
E
Ecfr search
Result
E
Ecfr get title versions
Result
E
Ecfr get regulation
Result
E
Ecfr get regulation
Result
Done
This is a situation with real consequences, and the Uniform Guidance is quite specific about what happens. Here's the picture, grounded in the current regulation (as of October 1, 2024):
The Baseline: Closeout Proceeds Regardless
Per 2 CFR § 200.344(a), if a recipient fails to complete the required work, the Federal agency or pass-through entity must proceed with closeout based on the information available — they don't wait indefinitely for the work to be finished. Closeout is mandatory once the period of performance ends.
Immediate Obligations on the Recipient
Once the award period ends (with no extension), the recipient still has hard deadlines:
120 calendar days to submit all final reports (financial, performance, and other required reports) — § 200.344(b)
120 calendar days to liquidate all financial obligations incurred under the award — § 200.344(c)
Any unobligated funds must be promptly refunded — § 200.344(e)
Property acquired with Federal funds must be properly accounted for — § 200.344(g)
Subrecipients have tighter deadlines — 90 calendar days for the same obligations.
What the Agency Can Do: Enforcement
If the recipient doesn't comply with closeout requirements (including failing to submit final reports), the agency has a range of tools under 2 CFR § 200.339:
Temporarily withhold payments
Disallow costs for the noncompliant activity
Suspend or terminate the award in whole or in part
Initiate suspension or debarment proceedings (2 CFR part 180)
Withhold future funding — new awards or continuation funding for the project or program
Pursue other legally available remedies
Additionally, under § 200.344(i), if the recipient fails to submit all final reports, the agency must report the material failure in SAM.gov via CPARS — a reputational and competitive consequence that can follow an institution into future awards.
Practical Bottom Line
A denied NCE means the work scope is essentially abandoned at the regulatory level. The institution must still close out cleanly and on time — the agency is not obligated to fund work completed after the period of performance ends. Costs incurred after the end date are generally unallowable, and any unspent funds must be returned. Failure to close out properly triggers the enforcement cascade above, which can have lasting effects on future funding competitiveness.
If work is truly critical and the NCE was denied, the best remaining options are typically to seek a supplemental award for a new scope, explore bridge funding internally, or consult the program officer about whether any alternative mechanism exists. I'd recommend involving your sponsored programs office and potentially legal counsel if you're weighing how to respond to the denial.</t>
  </si>
  <si>
    <t>Good, I have the skill instructions. Now let me fetch the relevant regulatory text on what happens when a project period ends and a no-cost extension is denied.Used ecfr integration, loaded toolsUsed ecfr integration, loaded toolsLoading toolsResultEEcfr searchResultEEcfr searchResultDoneThe search didn't surface the core Uniform Guidance sections on this topic. Let me go directly to the key provisions — 2 CFR § 200.309 (period of performance), § 200.344 (closeout), and § 200.308 (revision of budget and program plans, which covers extensions).Used ecfr integrationUsed ecfr integrationEEcfr get regulationResultEEcfr get regulationResultEEcfr get regulationResultEEcfr get regulationResultDoneNow I have everything needed for a thorough answer. Here's what the Uniform Guidance says:
When a No-Cost Extension Is Denied: Regulatory Consequences
This scenario is governed primarily by 2 CFR §§ 200.308, 200.309, 200.344, and 200.346 of the Uniform Guidance (as of October 1, 2024).
What Happens at the End of the Period of Performance
When a no-cost extension request is denied and no other extension is available, the period of performance ends on its scheduled date — full stop. Per 2 CFR § 200.309, the period of performance is only amended if an extension is actually approved. If no extension is granted, there is no regulatory mechanism to continue charging costs to the award.
Costs incurred after the period of performance ends are unallowable. Any expenditures made after the end date cannot be charged to the federal award, regardless of whether work was completed.
Mandatory Closeout Actions (2 CFR § 200.344)
Once the period of performance concludes, closeout requirements kick in immediately:
For recipients:
All financial, performance, and other reports must be submitted within 120 calendar days after the end of the period of performance.
All financial obligations incurred during the period of performance must be liquidated within 120 calendar days.
Any unobligated federal funds must be promptly refunded to the agency (§ 200.344(e)).
For subrecipients: The same deadlines are compressed to 90 calendar days (or earlier per the subaward terms).
The agency has the authority to approve extensions to these closeout deadlines when justified, but that is distinct from extending the period of performance itself.
Consequences of Non-Compliance
If the recipient fails to complete required closeout actions (§ 200.344(i)):
The federal agency must report the material failure to comply with the award's terms and conditions in SAM.gov via the Contractor Performance Assessment Reporting System (CPARS). This can have serious downstream consequences for the institution's ability to receive future awards.
The agency may pursue other enforcement actions under 2 CFR § 200.339, which can include disallowance of costs, suspension or termination of other awards, or debarment.
Unspent Funds and Debt to the Government
Per 2 CFR § 200.346, any federal funds paid to the recipient in excess of what it is entitled to under the award constitute a debt to the federal government, subject to collection under 31 CFR Part 901.
Practical Takeaways
A few important notes to keep in mind:
First, the Uniform Guidance does allow a self-initiated one-time extension of up to 12 months without prior approval (§ 200.308(g)(2)), provided the award terms permit it, the request is not solely to spend unobligated balances, no additional funds are needed, and no scope changes are involved. For research awards, this is automatically waived unless the agency's terms prohibit it (§ 200.308(h)). If this option was not used before the denial, it may already be off the table.
Second, agencies may have their own regulations or award terms that impose stricter requirements than the Uniform Guidance baseline — always check the Notice of Award and agency-specific terms.
Third, if work truly cannot be completed by the end date, the institution should consult with its sponsored programs office and consider whether a competitive renewal for follow-on work is appropriate, rather than trying to extend the current award.
I'd recommend verifying the specific terms of the Notice of Award and consulting your compliance office or legal counsel, as agency-specific rules can vary significantly from the Uniform Guidance floor.</t>
  </si>
  <si>
    <t>Loading tools
Result
E
Ecfr search
Result
E
Ecfr search
Result
Done
Let me pull the relevant Uniform Guidance sections on extensions and closeout directly.
Used ecfr integration
Used ecfr integration
E
Ecfr get regulation
Result
E
Ecfr get regulation
Result
E
Ecfr get regulation
Result
E
Ecfr get regulation
Result
E
Ecfr get regulation
Result
Done
This is a great question with real compliance stakes. Here's a thorough answer grounded in the current Uniform Guidance (2 CFR Part 200, as amended October 1, 2024).
What Happens When a No-Cost Extension Is Denied and the Project Isn't Complete
First: Understand Your Options Before the End Date
Under 2 CFR § 200.308(g)(2), a recipient may initiate a one-time, self-initiated extension of up to 12 months without prior federal agency approval — unless the award terms prohibit it, additional federal funds are needed, or the scope would change. You must notify the federal agency in writing at least 10 calendar days before the period of performance ends. This is distinct from a formal no-cost extension request.
If you've already exhausted that one-time option (or it was prohibited), you need prior approval for any further extension under § 200.308(f)(10).
If the Extension Is Denied: What Happens Next
1. The Period of Performance Ends as Scheduled Per 2 CFR § 200.309, the period of performance ends on its current end date. No new obligations may be incurred after that date, regardless of whether the scope of work is complete.
2. Closeout Proceeds on the Standard Timeline (2 CFR § 200.344) The recipient must:
Submit all final reports (financial, performance, and other required reports) within 120 calendar days after the end of the period of performance
Liquidate all financial obligations incurred during the period of performance within the same 120-day window
Promptly refund any unobligated balances not authorized to be retained (§ 200.344(e))
The federal agency is expected to complete all closeout actions within one year of the period end.
3. Incomplete Work Is Not Reimbursable After the End Date Costs incurred after the period of performance ends are generally unallowable. The agency may disallow costs associated with activities that weren't completed or weren't properly obligated during the award period.
4. Reporting on Incomplete Objectives The recipient must still submit a final performance report documenting what was accomplished — even if project goals weren't fully met. The report should honestly reflect progress, any shortfalls, and the reasons for them.
Consequences and Enforcement Risks
If the recipient fails to complete closeout properly (missing reports, unreturned unobligated funds, etc.), 2 CFR § 200.344(i) requires the federal agency to report the recipient's material noncompliance in SAM.gov via CPARS. This can affect future funding eligibility.
Beyond that, under 2 CFR § 200.339, the agency may:
Temporarily withhold payments
Disallow costs for activities connected to the noncompliance
Suspend or terminate the award (if still open)
Initiate suspension or debarment proceedings (2 CFR Part 180)
Withhold future awards or continuation funding
Pursue other legally available remedies
Any federal funds paid to the recipient beyond what they're entitled to become a debt to the federal government under § 200.346, collectible under 31 CFR Part 901.
Practical Takeaways
Situation	What to Do
Extension denied, work nearly done	Document all work completed; ensure all costs were properly obligated before end date
Unspent funds remain	Return them promptly; do not obligate after period ends
Reports can't be filed in 120 days	Request a closeout extension — the agency can approve those separately (§ 200.344(b))
Scope genuinely unachievable	Communicate proactively with your program officer; document the circumstances thoroughly
The single most important thing to avoid is incurring new costs after the period of performance ends — that creates disallowable costs and potential debt to the government. Everything else (incomplete scope, unspent funds) is manageable through proper closeout if handled transparently.
Note: I'm not a lawyer, and this is not legal advice. If your institution faces a denied extension with significant financial exposure, consulting your sponsored programs office and legal counsel is strongly recommended.</t>
  </si>
  <si>
    <t>Was the answer factual? (0 or 1)</t>
  </si>
  <si>
    <t>Accuracy Rating (1-5)</t>
  </si>
  <si>
    <t>Comprehensive Rating (1-5)</t>
  </si>
  <si>
    <t>Include irrelevant information? (0 or 1)</t>
  </si>
  <si>
    <t>Step Efficiency Rating (1-5)</t>
  </si>
  <si>
    <t>This is a research administration / grant compliance question. Let me check the relevant skill before answering.Reading the eCFR research admin skillReading the eCFR research admin skillNow let me search the eCFR for the relevant regulation on project period extensions and what happens when they're denied.Failed to fetch: https://www.ecfr.gov/api/search/v1/results?query=no-cost+extension+denied+project+period&amp;per_page=5&amp;page=1Failed to fetch: https://www.ecfr.gov/api/search/v1/results?query=no-cost+extension+denied+project+period&amp;per_page=5&amp;page=1I don't have direct MCP tool access in this interface, but I can draw on the Uniform Guidance (2 CFR Part 200) to give you a well-grounded answer.
When a no-cost extension (NCE) is denied and the project cannot be completed by the end date, several serious consequences follow under the Uniform Guidance (2 CFR Part 200):
1. The Award Period of Performance Ends
Per 2 CFR § 200.1, the "period of performance" is the time during which the non-Federal entity may incur new obligations against the award. Once that date passes without an approved extension, no new costs may be charged to the award — regardless of whether the work is done.
2. Unobligated Balances Must Be Returned
Under 2 CFR § 200.344, closeout requires the recipient to return any unobligated Federal funds within 120 days (or as specified by the Federal awarding agency) after the end of the period of performance. Money that wasn't spent on allowable, allocable, and reasonable costs during the award period cannot be retained.
3. Incomplete Deliverables and Reporting Obligations Still Apply
The recipient is still required to submit all final reports (financial, performance, and any other required reports) per 2 CFR § 200.344. Failure to complete the project does not eliminate the reporting obligation — the agency will expect an explanation of what was accomplished and why deliverables were not met.
4. Potential Audit and Compliance Risk
If costs were incurred in anticipation of an extension that was denied, those costs may be disallowed if they fall outside the period of performance. This can trigger audit findings and demands for repayment.
5. Impact on Future Funding
Federal agencies track performance, and an incomplete project with unmet deliverables can affect an institution's or PI's past performance record, which is considered in future award decisions. Under 2 CFR § 200.206, agencies must review applicant risk, including prior performance.
6. Scope Reduction May Be Necessary
Some agencies allow or require a formal scope reduction — officially amending the award to reflect only the work that was completed. This is the preferred path when possible, as it creates a clean closeout record rather than leaving unmet deliverables unaddressed.
Practical Recommendations:
Communicate early and proactively with the program officer. If an NCE is denied, ask whether a scope reduction or partial deliverables are acceptable.
Stop incurring costs against the award immediately at the end of the period of performance.
Return unobligated funds promptly and complete all closeout documentation.
Document the reasons for non-completion — this is important for any institutional record and for responding to future agency inquiries.
Consult your sponsored programs office and legal counsel if there are disputes about costs already incurred or significant unmet deliverables.
Would you like me to look up the exact current text of a specific section (e.g., 2 CFR § 200.344 on closeout, or § 200.308 on prior approval/changes to the award)?</t>
  </si>
  <si>
    <t>This is a research administration / grant management question. Let me check the relevant skill and regulations.Check skill for eCFR research adminCheck skill for eCFR research adminNow let me search for the relevant regulation on no-cost extensions and what happens when they're denied.Searched the webSearched the web2 CFR 200 no-cost extension denied project end date closeout10 resultseCFR :: 2 CFR 200.344 -- Closeout.www.ecfr.govFrequent Questions about Closeouts | US EPAwww.epa.govAttachment A: Questions and Answers - 2 CFR 200 Implementation Guidance | Federal Highway Administrationwww.fhwa.dot.govGrant Closeout Frequently Asked Questions General Questionswww.dol.goveCFR :: 2 CFR Part 200 Subpart D -- Post Federal Award Requirementswww.ecfr.gov2 CFR § 200.344 - Closeout. | Electronic Code of Federal Regulations (e-CFR) | US Law | LII / Legal Information Institutewww.law.cornell.edueCFR :: 2 CFR 200.308 -- Revision of budget and program plans.www.ecfr.govCODE OF FEDERAL REGULATIONS 2 CFR 200 Uniform Guidancewww.epa.govFinancial Reporting/No-Cost Extension | Post-Award Management | Sponsored Programs | Office of Research | UTHSCwww.uthsc.eduPart 200 Uniform Requirements | Office of Justice Programswww.ojp.govDoneGreat — here's a thorough breakdown of what happens under the Uniform Guidance (2 CFR Part 200) when a project can't be completed by the end date and a no-cost extension (NCE) is denied.
When a No-Cost Extension Is Denied: What Happens Next
1. The Period of Performance Ends as Scheduled
The award's end date stands. A no-cost extension means an extension of time that does not require the obligation of additional Federal funds, and all requests must be submitted at least 10 calendar days before the conclusion of the period of performance. eCFR If the agency denies that request, no new costs may be incurred after the end date.
2. Mandatory Closeout Is Triggered (2 CFR § 200.344)
The award immediately enters the closeout process. Key obligations include:
Final reports: A recipient must submit all reports — financial, performance, and other reports required by the Federal award — no later than 120 calendar days after the conclusion of the period of performance. Legal Information Institute
Proceed even if work is incomplete: When the recipient or subrecipient fails to complete the necessary administrative actions or the required work for an award, the Federal agency or pass-through entity must proceed with closeout based on the information available. Legal Information Institute
Refund unobligated funds: The recipient or subrecipient must promptly refund any unobligated funds that the Federal agency or pass-through entity paid and that are not authorized to be retained. Legal Information Institute
3. Costs Incurred After the End Date Are Unallowable
Any work performed or costs incurred after the period of performance ends cannot be charged to the award. If carryover is denied, the department will be responsible for any expenses incurred. University of Tennessee Health Science Center This means the institution may have to absorb those costs from non-federal funds.
4. Incomplete Work May Have Consequences for Future Awards
Some agencies may choose to hold back future funding or freeze accounts if any financial or technical reports are not submitted by the deadline. Failure to comply with reporting requirements for a specific grant may lead to the federal agency withholding new awards for the entire campus or suspending payments for costs incurred by the university on other projects funded by the same agency. University of Tennessee Health Science Center
Additionally, if the recipient does not comply with closeout requirements, including submitting all final reports, the Federal agency must report the recipient's material failure to comply with the terms and conditions of the Federal award in SAM.gov. Legal Information Institute A SAM.gov adverse record can affect the institution's eligibility for future federal funding.
5. The Agency Completes Closeout Actions Within One Year
The Federal agency must make every effort to complete all closeout actions no later than one year after the end of the period of performance. eCFR
Practical Takeaways
SituationConsequenceCosts incurred after end dateUnallowable; institution bears the expenseWork not completedAgency closes out on available informationFinal reports not submitted on timeRisk of SAM.gov adverse report; future funding withheldUnobligated balance not returnedAgency will demand repayment
Important Caveats
Agency-specific rules apply. Some agencies (e.g., NIH, EPA, DOL/VETS) have their own policies that may be stricter. Always check the specific Notice of Award and agency grants policy.
Negotiate where possible. Even after an NCE denial, it may be worth discussing scope reduction with the program officer so deliverables can be legitimately completed within the original period.
Consult your Sponsored Programs office before incurring any costs near or after the end date — they are your first line of defense in avoiding disallowed costs and compliance findings.</t>
  </si>
  <si>
    <t>This is a research administration / grant compliance question. Let me check the relevant skill before answering.Reading the eCFR research admin skillReading the eCFR research admin skillReading the eCFR research admin skillDoneGood. Now let me search for the relevant regulation on no-cost extensions and project period end dates.Searched the webSearched the webThis is a great question with several important regulatory and practical dimensions. Here's a comprehensive breakdown:
When a No-Cost Extension (NCE) Is Denied: What Happens?
1. The Award Ends — Period of Performance Closes
Per 2 CFR § 200.309, the period of performance is the authorized timeframe during which costs may be incurred. Once the end date passes, no additional costs may be incurred and are not eligible for reimbursement. FHWA In short, the clock stops and the award closes.
2. Closeout Is Triggered (2 CFR § 200.344)
The award enters formal closeout. Under the Uniform Guidance, closeout ensures that all required reports and certifications are received and evaluated, any equipment is accounted for, allowable costs are determined, and amounts due to either the federal entity or the recipient are determined and payment arrangements made — it is the official end of the government's relationship with the non-federal entity. U.S. Department of Labor
Key closeout deadlines typically include submitting final financial and performance reports within 120 days of the period of performance end (exact timing may vary by agency).
3. Unobligated Balances Are Returned
Any federal funds that were not obligated or spent by the end date must be returned to the agency. An extension may not be granted merely for the purpose of expending unobligated balances US EPA — so if the NCE was denied partly for this reason, those funds are forfeited.
4. Incomplete Work Has No Remedy Under the Award
If project objectives were not met, the recipient cannot simply continue work on the federal dime. Any costs incurred after the period of performance end date are unallowable and the recipient bears those costs entirely. This can create a significant gap between deliverables promised and deliverables completed.
5. Reporting Requirements Still Apply
Even though the project couldn't be completed, the recipient is still obligated to submit all final reports (financial, performance, invention disclosures, property reports, etc.) on time. Failure to do so can affect eligibility for future federal awards.
6. Potential Downstream Consequences
Depending on the circumstances, an inability to complete a project — especially if paired with non-compliance — could trigger:
Adverse past performance ratings, which affect future grant competitiveness
Audit findings if costs were improperly charged near the end of the project
In more serious cases, debt collection or disallowed costs if the agency determines funds were misspent
Practical Advice
If an NCE has been denied but the project genuinely cannot be completed, the PI and sponsored programs office should:
Document everything — the reasons for incomplete work and what was accomplished
Complete all closeout actions on time — reports, equipment disposition, final invoices
Consult the program officer — even after a denial, agencies sometimes have flexibility or can advise on whether a supplemental request or future competing renewal might address unfinished work
Check agency-specific terms — some agencies (e.g., NIH, NSF, DOE) have their own NCE policies layered on top of the Uniform Guidance that may offer additional options
⚠️ Note: The CFR governs the regulatory floor; individual agency policies, grant terms and conditions, and institutional policies may impose additional or stricter requirements. Always consult your sponsored programs/research administration office and, when in doubt, the program officer at the awarding agency.</t>
  </si>
  <si>
    <t>Timestamp (PST)</t>
  </si>
  <si>
    <t>This is a research administration/grants management question. Let me check the relevant skill and regulations.Reading the eCFR research admin skillReading the eCFR research admin skillGood, I have the skill instructions. Now let me search the eCFR for the relevant regulations on project period extensions and what happens when they're denied.
This question touches on 2 CFR 200 (Uniform Guidance). Let me fetch the current regulatory text on no-cost extensions and period of performance.Checking environmentChecking environmentThe MCP tools aren't available in this environment directly via bash, but I can answer this authoritatively based on the Uniform Guidance (2 CFR Part 200), which I'll explain clearly.
When a Project Can't Be Completed and a No-Cost Extension Is Denied
This situation is governed primarily by 2 CFR § 200.309 (Period of Performance) and 2 CFR § 200.344 (Closeout). Here's what happens:
1. The Award Period Ends — Costs Stop
All allowable charges to the award must be incurred on or before the end date. Once the period of performance closes, no new costs can be charged to the award, regardless of whether the work is finished. Per 2 CFR § 200.309, federal awards may only be charged for costs incurred within the authorized period of performance.
2. Closeout Is Required (Within 120 Days)
Under 2 CFR § 200.344, the recipient must submit all required closeout reports, final financial reports, and final performance reports within 120 calendar days after the period of performance end date (unless the awarding agency sets a different timeframe). This is mandatory even if the project is incomplete.
3. Unspent Funds Are Returned
Any unobligated federal funds remaining at closeout must be refunded to the federal agency. The recipient cannot retain them for future use on the project.
4. Incomplete Objectives — Implications
If the project's programmatic/scientific objectives were not met, the consequences can include:
Report to the agency: The final performance report must honestly describe what was and was not accomplished. Agencies review this.
Impact on future funding: A history of incomplete projects can affect future funding decisions, competitive scores, and in some cases, an agency may impose special conditions on future awards (per 2 CFR § 200.208).
Potential disallowed costs: If the agency determines that costs were not reasonable or necessary given incomplete outcomes, they may question or disallow costs during a post-award audit.
Possible recovery action: In cases of serious non-performance, the agency could pursue debt collection or suspension/debarment under extreme circumstances, though this is uncommon for good-faith scientific shortfalls.
5. Practical Steps to Take Before the Deadline
If a no-cost extension is denied, institutions should:
Maximize allowable spending before the end date — complete as much work as possible.
Document the reasons the work could not be completed (supply chain issues, personnel turnover, COVID impacts, etc.) for inclusion in the final report.
Consult your Sponsored Programs Office — they may help identify whether a supplemental request, carryover, or a follow-on grant can pick up where the project left off.
Communicate proactively with the Program Officer — even after a denied NCE, agencies appreciate transparency and may informally advise on next steps.
Key Regulatory References
ProvisionCitationRelevancePeriod of performance2 CFR § 200.309Costs must be incurred within authorized datesCloseout requirements2 CFR § 200.344120-day closeout, return of fundsSpecial conditions2 CFR § 200.208Agency may impose conditions for future awardsRemedies for noncompliance2 CFR § 200.339–200.340Termination, suspension, disallowance
Note: This is based on the Uniform Guidance framework. Individual agencies (NIH, NSF, DOD, etc.) may have additional or stricter requirements in their agency-specific policies (e.g., the NIH Grants Policy Statement). Always consult your institution's Sponsored Programs Office and the agency's program officer for guidance specific to your award.</t>
  </si>
  <si>
    <t>This is a research administration / grants management question, so let me check the relevant skill first.Check skill for federal research regulationsCheck skill for federal research regulationsGood. Now let me search for the relevant regulatory text on project end dates and no-cost extensions.Searched the webSearched the webThis is a great question that comes up often in sponsored research. Here's a practical and regulatory breakdown of what happens when a no-cost extension (NCE) is denied and the project cannot be completed by the end date:
When a No-Cost Extension Is Denied: What Happens Next
1. The Award Closes at the End of the Period of Performance
Per 2 CFR § 200.309, costs may only be incurred within the approved period of performance. After the end date, no additional costs may be incurred and any costs incurred after that point are not eligible for reimbursement. FHWA This is a hard stop — there is no grace period for incurring new costs after the period of performance expires.
2. Closeout Is Triggered Immediately
Closeout under 2 CFR § 200.344 is the process by which the Federal agency determines that all applicable administrative actions and all required work of the award have been completed. It ensures that all required reports and certifications are received, any equipment is accounted for, allowable costs are determined, and amounts due to either the federal entity or the recipient are settled. U.S. Department of Labor
Final reports must generally be submitted no later than 120 calendar days after the conclusion of the period of performance. US EPA
3. Unobligated Funds Are Returned
Any federal funds that remain unspent at closeout must be returned to the agency. The recipient cannot simply spend down remaining funds after the end date, and an extension may not be granted merely for the purpose of expending unobligated balances. US EPA
4. Incomplete Work Has No Automatic Remedy
The Uniform Guidance does not provide a mechanism to continue federally-funded work after a denied NCE. In practice, this means:
Work simply stops — any tasks not completed within the period of performance remain unfinished unless funded through other means.
Scope adjustments may be needed — the recipient may need to report revised outcomes or partial deliverables in the final performance report.
Future funding relationships may be affected — consistently incomplete projects can influence a recipient's track record in competitive grant processes.
5. Reporting Obligations Remain
Even if the project is incomplete, all final financial and performance reports are still required. Recipients must report deviations from the approved budget, project scope, or objectives, and must notify the awarding agency when significant developments negatively impact the award, including providing a corrective action plan. US EPA
Practical Steps to Consider Before the End Date
If an NCE has been denied and the deadline is approaching, your options include:
Appeal or escalate the NCE denial if there are new compelling circumstances.
Prioritize and complete the most critical deliverables within remaining time.
Document everything — explain in your final report what was accomplished, what wasn't, and why.
Consult your Sponsored Programs/Grants Office immediately, as they may have agency-specific relationships or know of alternative paths.
Check agency-specific policies — some agencies (e.g., NIH, NSF) have their own NCE policies that differ from the baseline Uniform Guidance, and the terms of your award document govern.
⚠️ Note: This is general regulatory guidance based on 2 CFR Part 200 (Uniform Guidance). Individual agencies may have stricter or different requirements, and your institution's sponsored programs office should always be consulted for award-specific guidance.</t>
  </si>
  <si>
    <t>This is a research administration / sponsored projects question. Let me check the relevant skill and regulations.Check the eCFR research admin skillCheck the eCFR research admin skillThe skill instructs me to search eCFR for the authoritative regulatory text. Let me look up the relevant Uniform Guidance provisions on project period extensions and closeout.Searched the webSearched the webHere's a comprehensive answer grounded in the Uniform Guidance (2 CFR Part 200):
When a No-Cost Extension Is Denied: What Happens Next
When a no-cost extension (NCE) is denied and the project cannot be completed by the end date, the award enters closeout and several important obligations are triggered.
1. The Award Closes at the End of the Period of Performance
When the recipient fails to complete the necessary administrative actions or required work for an award, the Federal agency or pass-through entity must proceed with closeout based on the information available. eCFR Work cannot legally continue past the end date, and no new costs may be incurred after the period of performance ends.
2. Closeout Reporting Deadlines Apply
A recipient must submit all reports — financial, performance, and other reports required by the Federal award — no later than 120 calendar days after the conclusion of the period of performance. Legal Information Institute Missing these deadlines has serious consequences (see below).
3. All Financial Obligations Must Be Liquidated
Unless the Federal awarding agency or pass-through entity authorizes an extension, a non-Federal entity must liquidate all financial obligations incurred under the Federal award no later than 120 calendar days after the end date of the period of performance. Electronic Code of Federal Regulations This means outstanding invoices, subcontract payments, and other encumbrances must be paid and closed out.
4. Unobligated Funds Must Be Returned
The recipient or subrecipient must promptly refund any unobligated funds that the Federal agency paid and that are not authorized to be retained. Legal Information Institute Any remaining budget that was not spent on allowable costs during the period of performance goes back to the agency.
5. Incomplete Work Has Programmatic and Financial Consequences
Costs incurred for work that was not completed may be disallowed. The Federal agency or pass-through entity must make all necessary adjustments to the Federal share of costs after closeout reports are received — for example, to reflect the disallowance of any costs or the deobligation of an unliquidated balance. Legal Information Institute
Additionally, some agencies may choose to hold back future funding or freeze accounts if any financial or technical reports are not submitted by the deadline. Failure to comply with reporting requirements may lead to the federal agency withholding new awards for the entire campus or suspending payments on other projects funded by the same agency. University of Tennessee Health Science Center
6. Non-Compliance Is Reported Publicly
If the recipient does not comply with the requirements of this section, including submitting all final reports, the Federal agency must report the recipient's material failure to comply with the terms and conditions of the Federal award in SAM.gov. Legal Information Institute This is a significant reputational and compliance risk that can affect future award eligibility.
7. Agency Completes Closeout Within One Year
The Federal awarding agency must make every effort to complete closeout actions no later than one year after the end of the period of performance. If the non-Federal entity does not submit all reports within one year of the period of performance end date, the Federal awarding agency must report the non-Federal entity's material failure. Electronic Code of Federal Regulations
Practical Takeaways
If an NCE is denied, your institution should:
Stop charging costs to the project immediately at the end date.
Reconcile accounts promptly and identify any unallowable or unfinished-work costs that may need to be returned or transferred.
Submit all final reports (financial, technical/programmatic) within the 120-day window.
Communicate with the program officer about what work was accomplished and document the reasons for incompletion — this matters for any future supplement or recompetition.
Consult your sponsored programs/grants office and legal counsel if significant work is unfinished, as cost disallowances and audit risks may follow.
The regulatory authority here is primarily 2 CFR §§ 200.308 and 200.344. Individual agencies (NIH, NSF, DOE, EPA, etc.) may have stricter policies on top of the Uniform Guidance, so always check the agency-specific terms of your Notice of Award as well.</t>
  </si>
  <si>
    <t xml:space="preserve">This depends on the context — are you asking about a federally funded research grant, a contract, or a general project management situation?
</t>
  </si>
  <si>
    <t>first time it asks the user a leading question as a response. Hit the 90% usage session before this chat response.</t>
  </si>
  <si>
    <t>same leading question</t>
  </si>
  <si>
    <t>This is a research administration / grant compliance question, so let me check the relevant skill first.Check skill for federal research regulationsCheck skill for federal research regulationsGood — I have the skill guidance. Now let me search for the relevant regulation on no-cost extensions and project end dates.Searched the webSearched the webThis is a great question with real practical consequences. Here's a thorough answer grounded in the Uniform Guidance (2 CFR Part 200):
When a No-Cost Extension Is Denied: What Happens
The Period of Performance Ends — Hard Stop on Costs
When a no-cost extension is denied and the project end date arrives, the period of performance closes. No new costs may be incurred after that date and charged to the award. Closeout is the completion of the grant life cycle and the official end of the government's relationship with the non-federal entity. U.S. Department of Labor This triggers the formal closeout process under 2 CFR § 200.344.
Immediate Closeout Obligations
The recipient must:
Submit all final reports — including the final Federal Financial Report (SF-425), final performance/technical report, and any required invention or property reports — typically within 90 calendar days of the period of performance end date.
Liquidate all obligations. The final FFR must not include any unliquidated financial obligations. U.S. Department of Labor Any unpaid bills or commitments that cannot be liquidated by the closeout deadline become the institution's responsibility.
Return unobligated balances. Any unspent federal funds must be returned to the agency. An extension may not be granted merely for the purpose of expending unobligated balances. US EPA
Account for equipment and property per 2 CFR § 200.313.
Incomplete Scope of Work: Consequences
If project objectives were not met by the end date, the consequences depend on the agency and circumstances, but can include:
Adverse performance record. The agency may document the incomplete work in the Federal Awardee Performance and Integrity Information System (FAPIIS). This can affect your ability to receive federal awards in the future. U.S. Department of Labor
Recovery of funds. VETS may, in accordance with applicable regulations, take or recommend enforcement action, including potential recovery of funds reimbursed to your organization U.S. Department of Labor — and other agencies have similar authority. If costs were incurred for work that was not completed or was outside the approved scope, those costs may be deemed unallowable and subject to repayment.
Reporting requirements still apply. Even with an incomplete project, all required technical and financial reports must be submitted. The final report should accurately reflect what was accomplished.
Proactive Options Before the End Date
If a no-cost extension has been denied but time remains, consider:
Escalate or appeal — talk directly with the program officer and grants management officer. Please talk to your Federal Program Officer and Grant Officer to discuss options. Noaa
Prioritize deliverables — focus remaining effort on the highest-priority milestones that can still be completed within the period of performance.
Consider a supplemental request — if the barrier is truly insufficient funds (not just time), a supplemental award request under 2 CFR § 200.308(c)(1)(viii) may be available, though approval is not guaranteed and the agency must verify funds are available to avoid an Antideficiency Act violation.
Bottom Line
A denied no-cost extension means the award closes on the original end date. Unfinished work does not automatically create a penalty, but failing to properly close out, returning unspent funds, and submitting required reports are all mandatory. Repeated failures to complete funded projects can affect future funding eligibility. Your institution's sponsored programs/research office should be involved immediately when an extension is denied to manage the closeout properly.
Note: I'm not a lawyer or compliance officer — always verify your specific situation with your institution's sponsored programs office and, if needed, legal counsel, as agency-specific terms and conditions may impose additional requirements beyond the Uniform Guidance baseline.</t>
  </si>
  <si>
    <t>Question responses were garnered before the 1.2.234 update</t>
  </si>
  <si>
    <t>This is a research administration / grants management question. Let me check the relevant skill for guidance.Check the eCFR research admin skillCheck the eCFR research admin skillNow let me search the eCFR for the relevant regulation on project extensions and closeout.Searched the webSearched the webHere's a comprehensive breakdown of what happens under the Uniform Guidance (2 CFR Part 200) when a project cannot be completed by its end date and a no-cost extension (NCE) is denied:
When a No-Cost Extension Is Denied: What Happens Next
1. The Period of Performance Ends — Work Must Stop
Once the end date passes without an approved extension, the period of performance is over. Costs incurred after that date are generally unallowable and cannot be charged to the award. The period of performance is the time window in which incurred costs are eligible for reimbursement. FHWA
2. Closeout Is Triggered (2 CFR § 200.344)
The award enters formal closeout. The Federal agency or pass-through entity must close out the Federal award when it determines that all administrative actions and required work have been completed. When the recipient or subrecipient fails to complete the required work, the Federal agency or pass-through entity must proceed with closeout based on the information available. eCFR
3. Final Reports Must Be Submitted
A recipient must submit all reports — financial, performance, and other reports required by the Federal award — no later than 120 calendar days after the conclusion of the period of performance. Legal Information Institute Missing this deadline has serious consequences (see #6 below).
4. Unobligated Funds Must Be Returned
The recipient or subrecipient must promptly refund any unobligated funds paid by the Federal agency or pass-through entity that are not authorized to be retained. Legal Information Institute If work is incomplete, there are likely unspent funds — those go back.
5. Incomplete Scope of Work
This is the hardest consequence: the project deliverables or objectives simply don't get done under Federal funding. The agency funded a specific scope of work, and if it isn't finished, the recipient has not fully performed. The agency may consider this when evaluating future funding opportunities.
6. Non-Compliance Is Reported Publicly
If the recipient does not comply with the requirements of this section — including submitting all final reports — the Federal agency must report the recipient's material failure to comply with the terms and conditions of the Federal award in SAM.gov, using the Contractor Performance Assessment Reporting System (CPARS). Legal Information Institute This is a significant reputational and competitive consequence, as SAM.gov is visible to all federal agencies reviewing future award applications.
7. Future Funding May Be Jeopardized
Some agencies may choose to hold back future funding or freeze accounts if financial or technical reports are not submitted by the deadline. Failure to comply with reporting requirements for a specific grant may lead to the federal agency withholding new awards for the entire institution or suspending payments on other projects funded by the same agency. University of Tennessee Health Science Center
Practical Steps to Take When an NCE Is Denied
Even with a denial, there are things your office can do to mitigate impact:
Spend down strategically — ensure all allowable costs incurred before the end date are properly charged and documented.
Submit final reports on time — the 120-day deadline for final financial and performance reports is critical. Missing it triggers the SAM.gov reporting requirement.
Document the gap — clearly document what work was not completed and why. This creates a record in case of audit questions.
Communicate with the program officer — even post-denial, a candid conversation about why work was incomplete may inform future award decisions.
Check for carryforward rules — in some cases, certain unobligated balances may be carried forward to a new, separate award if the agency permits it.
Note: Requirements vary by agency. Some agencies (like NIH) have specific policies that go beyond the Uniform Guidance baseline. Always consult your Sponsored Programs Office and the specific award's terms and conditions.</t>
  </si>
  <si>
    <t>I’m working with a PI in Plant Sciences who would like to purchase equipment that was not included in the original approved budget. Could you let me know what prior approval documentation is required and what steps we need to complete before the purchase?</t>
  </si>
  <si>
    <t>Yes, to show casual POV example.</t>
  </si>
  <si>
    <t>Now let me search for the relevant regulation on salary charges to federal awards.Failed to fetch: https://ecfr.mcp.claude.com/mcpFailed to fetch: https://ecfr.mcp.claude.com/mcpI don't have direct MCP access here, but this is a well-established area of the Uniform Guidance that I can address accurately. Let me give you a thorough answer grounded in 2 CFR § 200.430, which is the governing provision.
Salary Charges to Federal Awards: The IBS Rule
Yes — but only up to the employee's Institutional Base Salary (IBS). That is the ceiling, not just a starting point.
The Governing Regulation: 2 CFR § 200.430
The Uniform Guidance defines Institutional Base Salary (IBS) as:
"The annual compensation paid by an IHE for an individual's appointment, whether that individual's time is spent on research, instruction, administration, or other activities. IBS excludes any income that an individual earns outside of duties performed for the IHE."
Key rules that flow from this:
1. IBS is the cap.
Charges to federal awards for salaries may not exceed the proportionate share of the employee's IBS for the time devoted to the project. You cannot charge more than what the institution actually pays the employee.
2. Extra compensation above IBS is generally unallowable.
Unless very specific conditions are met (see below), paying an employee more than their IBS and charging that to a federal award is not permitted.
3. The NIH "cap" is a separate, additional constraint.
For NIH awards specifically, there is a legislative salary cap (currently tied to Executive Level II) that further limits how much of any individual's salary can be charged — even if their IBS is higher. This cap is set annually by Congress.
The Exception: Extra Pay for Additional Work
Under 2 CFR § 200.430(h), extra compensation above IBS may be allowable if all of the following are true:
The IHE's written institutional policy permits extra pay consistently across all funding sources (not just federal awards)
The work performed is genuinely in addition to the employee's regular workload (not a reallocation of existing effort)
The pay rate is consistent with the institutional policy
Prior approval from the federal awarding agency may be required depending on the award terms
This is a narrow exception and subject to audit scrutiny.
Effort Reporting Connection
The salary charge must also be supported by the institution's effort reporting system, which must:
Reasonably reflect the activity for which the employee is compensated
Cover all activities (not just federally-sponsored work)
Encompass both sponsored and non-sponsored activities
Practical Summary
ScenarioAllowable?Charging salary ≤ IBS, proportionate to effort✅ YesCharging salary &gt; IBS❌ No (unless narrow extra-pay exception applies)Charging 100% salary when effort is less than 100%❌ NoNIH salary above the Executive Level II cap❌ No, even if within IBSExtra pay above IBS with consistent institutional policy✅ Potentially, with conditions
Important Caveats
Agency-specific rules may be stricter. NIH, NSF, DOD, and other agencies may impose additional limitations beyond what the Uniform Guidance requires.
Institutional policy matters. Some institutions have internal policies more restrictive than federal minimums.
Consult your sponsored programs or compliance office for award-specific terms and conditions, especially regarding prior approval requirements for salary charges.
The authoritative text is 2 CFR § 200.430 — Compensation — personal services. Would you like me to look up the current verbatim regulatory text?</t>
  </si>
  <si>
    <t>I'll look up the current regulatory text on compensation/salary charges to federal awards from the Uniform Guidance.Failed to fetch: https://ecfr.mcp.claude.com/mcpFailed to fetch: https://ecfr.mcp.claude.com/mcpThe MCP server isn't directly fetchable that way — let me use web search to pull the current regulatory text on salary charges from 2 CFR § 200.430.Searched the webSearched the webGreat question — and the answer is yes, but only up to the proportionate share of IBS, not the full salary amount. Here's the breakdown per 2 CFR § 200.430:
The IBS Rule (per 2 CFR § 200.430)
Yes — salary charged to a federal award must be based on the employee's full Institutional Base Salary (IBS) rate, but the amount charged is limited to the proportionate share of IBS reflecting the actual time worked on the award.
What is IBS?
IBS is the annual compensation paid by an IHE for an individual's appointment, whether that individual's time is spent on research, instruction, administration, or other activities. IBS excludes any income an individual earns outside of duties performed for the IHE. eCFR
This is important: IBS is the rate basis — it anchors the per-unit cost of an employee's time. You cannot use a higher rate (e.g., inflated consulting rates), nor can you use a lower rate.
The Hard Cap
In no event will charges to Federal awards, irrespective of the basis of computation, exceed the proportionate share of the IBS for that period. Unless there is prior approval by the Federal agency, charges of a faculty member's salary to a Federal award may not exceed the proportionate share of the IBS for the period during which the faculty member worked on the Federal award. eCFR
So if a faculty member works 30% effort on an award, only 30% of IBS may be charged — not 100%.
The Documentation Requirement
Charges to Federal awards for salaries and wages must be based on records that accurately reflect the work performed, and must reasonably reflect the total activity for which the employee is compensated by the recipient or subrecipient, not exceeding 100 percent of compensated activities (for IHEs, this is the IBS). eCFR
Key Practical Points
ScenarioAllowable?Charge 100% of IBS if employee works 100% on award✅ YesCharge 25% of IBS for 25% effort on award✅ YesCharge more than proportionate IBS share❌ No (without prior federal agency approval)Use a rate higher than IBS (e.g., consulting rate)❌ NoInclude outside income in the IBS base❌ No — IBS excludes outside income
Special Note on NIH/Senior Personnel
Some agencies like NIH impose additional caps (the NIH Senior/Key Personnel salary cap) that may be lower than IBS. In those cases, the agency cap controls — you may not charge up to IBS if it exceeds the cap.
Always verify whether your specific awarding agency has additional salary limitations beyond the IBS rule in 2 CFR § 200.430. Your institution's sponsored programs office or legal counsel should be consulted for specific award interpretations.</t>
  </si>
  <si>
    <t>Now let me look up the relevant regulation on salary charges to federal awards.Failed to fetch: https://ecfr.mcp.claude.com/mcpFailed to fetch: https://ecfr.mcp.claude.com/mcpThe MCP tools aren't available in this session, so let me look this up directly from the eCFR.Searched the webSearched the webGreat question — and the answer is yes, with an important constraint: salary charges must be based on the Institutional Base Salary (IBS), but only for the proportionate share of effort devoted to the award. Here's the full picture under 2 CFR § 200.430:
The IBS Rule (2 CFR § 200.430)
Charges for work performed on Federal awards by faculty members during the academic year are allowable at the Institutional Base Salary (IBS) rate. In no event will charges to Federal awards, irrespective of the basis of computation, exceed the proportionate share of the IBS for that period. This principle applies to all members of the faculty at an institution. eCFR
So the ceiling is IBS — but that ceiling is proportionate, not total.
What Is IBS?
IBS is the annual compensation paid by an institution of higher education (IHE) for an individual's appointment, whether that individual's time is spent on research, instruction, administration, or other activities. IBS excludes any income an individual earns outside of duties performed for the IHE. eCFR
This means things like outside consulting income, VA salary, bonuses, or honoraria are generally not part of IBS and cannot be used as a basis for federal charges.
The Proportionate Share Requirement
Unless there is prior approval by the Federal agency, charges of a faculty member's salary to a Federal award may not exceed the proportionate share of the IBS for the period during which the faculty member worked on the Federal award. eCFR
Example: If a faculty member has a $120,000 IBS and devotes 25% effort to a federal award, the maximum charge is $30,000 — not the full $120,000.
Can the Full IBS Ever Be Charged?
Theoretically yes — if the employee devotes 100% of their compensated effort to the federal award. But practically, an employee would need no other institutional responsibilities (teaching, service, administration, other grants) for the entire period. Records must reflect this accurately.
Key Documentation Requirement
Charges to Federal awards for salaries and wages must be based on records that accurately reflect the work performed... [records must] reasonably reflect the total activity for which the employee is compensated by the recipient or subrecipient, not exceeding 100 percent of compensated activities (for IHEs, this is the IBS). Legal Information Institute
One Important Caveat: NIH Salary Cap
Note that for NIH and other HHS awards, there is an additional constraint — the Executive Level II salary cap — which limits the rate at which salary may be charged regardless of IBS. If an employee's IBS exceeds the cap, the award can only be charged at the capped rate. Your institution's sponsored programs office can provide the current cap rate.
Bottom line: An institution can charge salary based on an employee's full IBS, but only the fraction corresponding to the effort actually devoted to the award. Charging 100% of IBS to a single award would only be appropriate — and auditable — if the employee truly had no other compensated responsibilities during that period.</t>
  </si>
  <si>
    <t>I'll look up the current regulatory text on compensation/salary charges to federal awards under the Uniform Guidance.Searched the webSearched the webGreat — the regulatory text is clear. Here's a comprehensive answer grounded in 2 CFR § 200.430 (Uniform Guidance).
Charging Salary to a Federal Award: The IBS Rule
Yes — but only the proportionate share, and never more than the Institutional Base Salary (IBS) rate.
The Core Rule (per 2 CFR § 200.430)
Charges for work performed on Federal awards by faculty members during the academic year are allowable at the IBS rate. In no event will charges to Federal awards, irrespective of the basis of computation, exceed the proportionate share of the IBS for that period. This principle applies to all members of the faculty at an institution. Legal Information Institute
What Is IBS?
IBS is defined as the annual compensation paid by an IHE for an individual's appointment, whether that individual's time is spent on research, instruction, administration, or other activities. IBS excludes any income that an individual earns outside of duties performed for the IHE. Electronic Code of Federal Regulations
In plain terms: IBS is the employee's full institutional salary as set by the institution. It does not include outside consulting income, honoraria, or income from activities outside the institution.
What "Proportionate Share" Means in Practice
You cannot charge a federal award for 100% of someone's IBS unless they are devoting 100% of their institutional effort to that award. The charge must reflect the actual portion of time/effort dedicated to the award. For example:
An employee at $100,000 IBS working 30% effort on an award → the award may be charged up to $30,000.
That same employee cannot be charged at a rate above $100,000 IBS, even if they work extra hours.
Special Case: Faculty at IHEs (NIH and the "Cap")
For some agencies — most notably NIH — there is an additional statutory cap on salary that is lower than IBS. NIH limits charges to the Executive Level II pay rate regardless of an individual's actual IBS. This is a separate, more restrictive rule layered on top of the Uniform Guidance IBS rule.
Key Takeaways
ScenarioAllowable?Charge proportionate share of IBS based on actual effort✅ YesCharge 100% of IBS when employee works 100% on the award✅ YesCharge more than IBS (e.g., supplemental pay on top of IBS) without prior agency approval❌ NoCharge extra service / overload pay to a federal award⚠️ Only if specific conditions in § 200.430 are metFaculty salary during the academic year above the proportionate IBS share❌ No
Extra Service Pay (Overload)
Extra service pay typically represents overload compensation, subject to institutional compensation policies for services above and beyond IBS. It is allowable if the IHE establishes consistent written policies applying uniformly to all faculty (not just those on federal awards), establishes a consistent written definition of work covered by IBS, and the supplementation amount paid is commensurate with the IBS pay rate and additional work performed. Legal Information Institute
Bottom line: An institution can charge an employee's full IBS to a federal award — but only to the extent that the employee's effort on the award justifies it. The charge must always reflect actual effort and can never exceed the IBS rate. Agency-specific salary caps (like NIH's) may impose stricter limits. I'd recommend verifying current agency-specific guidance with your sponsored programs or compliance office, as policies can vary by federal agency beyond what the CFR codifies.</t>
  </si>
  <si>
    <t>I'll look up the relevant eCFR regulation on compensation/salary charges to federal awards. Let me follow the skill's workflow.Failed to fetch: https://ecfr.mcp.claude.com/mcpFailed to fetch: https://ecfr.mcp.claude.com/mcpBased on my knowledge of 2 CFR Part 200 (the Uniform Guidance), I can give you a thorough answer on this. Note that I was unable to connect to the live eCFR tool, so I'm drawing on my training knowledge — I'd recommend verifying against the current eCFR text at ecfr.gov, as regulations can be amended.
Salary Charges to Federal Awards — The IBS Rule
The short answer: Yes, but only up to the employee's Institutional Base Salary (IBS) — and for IHEs, there is an additional cap on faculty compensation.
The Governing Regulation: 2 CFR § 200.430
The Uniform Guidance addresses compensation for personal services at 2 CFR § 200.430. The key concepts are:
Institutional Base Salary (IBS) is defined as the annual compensation paid by an institution for an employee's appointment, whether that appointment is for teaching, research, administration, or other activities. IBS:
Is established by the institution
Excludes income earned outside of the institutional appointment (e.g., consulting fees, clinical income from a practice plan that is separate from the institution)
Sets the ceiling for salary charges to any federal award
An institution may not charge to a federal award a salary rate that exceeds an employee's IBS. If an employee earns additional income outside their institutional appointment, that income is not part of the base for federal charging purposes.
The Special Rule for IHEs: The "Academic Year" / Effort Cap
For Institutions of Higher Education (IHEs), there is a further important constraint. Faculty are typically appointed on a 9- or 10-month academic year basis. The Uniform Guidance allows faculty to charge federally funded research during the summer months (outside the academic year) — but only if:
The work is actually performed during that period, and
The total compensation does not exceed the IBS prorated to the period of effort
In other words, a faculty member cannot charge more than 100% of their IBS, regardless of how many grants they have.
The NIH Salary Cap (Agency-Specific)
Beyond the IBS rule, some agencies impose their own salary caps. Most notably, NIH limits the amount of an individual's salary that can be charged to NIH awards to the Executive Level II pay rate (the NIH salary cap), regardless of what the employee's IBS actually is. If IBS exceeds the NIH cap, the institution must absorb the difference or pay it from non-federal sources.
Practical Summary
ScenarioAllowable?Charging salary at the employee's full IBS rate, proportional to effort✅ YesCharging salary above IBS (e.g., using consulting rates)❌ NoCharging 100% salary when employee only spent 50% effort on the award❌ NoCharging NIH award above the Executive Level II cap, even if IBS is higher❌ NoCharging summer salary to a grant for work actually performed in summer✅ Yes, up to IBS proration
Key Takeaway
An institution can charge salary up to the employee's full IBS, but only in proportion to the actual effort devoted to the award. The IBS is the ceiling — not a floor that guarantees full recovery. Agency-specific caps (like NIH's) may further restrict what can be charged.
For the current regulatory text, see 2 CFR § 200.430 at ecfr.gov, and consult your sponsored programs office or legal counsel for institution-specific application.</t>
  </si>
  <si>
    <t>Now let me fetch the relevant regulation on compensation/salary from 2 CFR 200.Searched the webSearched the webGreat question, and the answer depends on whether you're asking about Institutions of Higher Education (IHEs) or other non-federal entities. Here's a breakdown grounded in 2 CFR § 200.430:
The Short Answer
Yes — but only up to the proportionate share of IBS, not a flat 100% charge, and salary charges to a federal award are capped at the Institutional Base Salary (IBS) rate. You cannot charge more than IBS, and you can only charge the share that corresponds to the effort devoted to the award.
What Is Institutional Base Salary (IBS)?
Per 2 CFR § 200.430, IBS is the annual compensation paid by an IHE for an individual's appointment, whether that individual's time is spent on research, instruction, administration, or other activities. IBS excludes any income an individual earns outside of duties performed for the IHE. Legal Information Institute
The Key Rule: Proportionate Share, Not Full Salary
Charges for work performed on Federal awards by faculty members during the academic year are allowable at the IBS rate. In no event will charges to Federal awards, irrespective of the basis of computation, exceed the proportionate share of the IBS for that period. Unless there is prior approval by the Federal agency, charges of a faculty member's salary to a Federal award may not exceed the proportionate share of the IBS for the period during which the faculty member worked on the Federal award. GovRegs
So, for example, if a faculty member devotes 25% of their effort to a federal award, you may charge 25% of their IBS — not the full salary.
Can You Ever Charge Above IBS? (Extra Service Pay)
There is a narrow exception for extra service pay (overload compensation), but it comes with strict conditions. Extra service pay is allowable only if: (i) the institution establishes consistent written policies applying uniformly to all faculty members; (ii) the institution establishes a consistent written definition of work covered by IBS, specific enough to determine when work beyond that level has occurred; (iii) the supplementation amount is commensurate with the IBS pay rate and additional work performed; and (iv) the salaries, as supplemented, fall within the salary structure and pay ranges established and documented in writing. Legal Information Institute
NIH-Specific Note
NIH adds an additional cap on top of IBS. Under the NIH salary cap (set annually by Congress), no individual may be paid more than the Executive Level II rate, regardless of their IBS. If an employee's IBS exceeds that cap, NIH awards can only reimburse up to the cap amount for the proportionate effort charged.
Key Takeaways for Compliance
ScenarioAllowable?Charge proportionate share of IBS for effort devoted to award✅ YesCharge 100% of IBS when employee works 100% on the award✅ YesCharge salary above IBS without extra service pay policy❌ NoCharge outside income or supplemental pay not covered by IBS❌ NoCharge beyond proportionate effort without prior agency approval❌ No
The governing regulation is 2 CFR § 200.430. If your institution has a specific situation — such as clinical faculty with complex compensation arrangements or employees near the NIH salary cap — your sponsored programs office or legal counsel should weigh in, as those scenarios can involve agency-specific rules beyond the base Uniform Guidance.</t>
  </si>
  <si>
    <t>I'll look up the relevant compensation regulations in the Uniform Guidance (2 CFR 200). Let me follow the proper workflow.Failed to fetch: https://ecfr.mcp.claude.com/mcpFailed to fetch: https://ecfr.mcp.claude.com/mcpI don't have direct access to the eCFR MCP tools in this session, but I can give you a well-grounded answer based on the governing regulation — 2 CFR § 200.430 (Compensation — personal services), which is the controlling provision under the Uniform Guidance.
Salary Charges to Federal Awards: The Short Answer
Generally, yes — but with an important cap for IHEs (Institutions of Higher Education) and specific conditions that must be met.
The General Rule (2 CFR § 200.430)
Compensation charges to federal awards are allowable if they meet these conditions:
Reasonableness — the total compensation is reasonable for the work performed.
Conformance with institutional policy — the charges must be consistent with the organization's written policies applied uniformly to all employees.
Based on actual work performed — salary must reflect the proportion of time and effort an employee devotes to the federal award.
Adequately documented — effort must be supported by records (e.g., effort reporting).
The IHE-Specific Cap: The "IBS" Rule
For faculty at Institutions of Higher Education, there is a critical limitation:
Charges for work on federal awards may not exceed the Institutional Base Salary (IBS) — the annual compensation paid by the institution for an employee's appointment, whether full-time or part-time.
IBS does NOT include:
Consulting income
Outside pay (e.g., clinical practice plan income not controlled by the institution)
Summer salary paid from non-institutional sources
So if a faculty member earns $200,000 IBS and also receives $50,000 from a separate clinical practice plan, only the $200,000 IBS is the base from which effort can be charged to federal awards.
Key Practical Points
ScenarioAllowable?Charging salary proportional to effort at IBS rate✅ YesCharging salary at a rate exceeding IBS❌ NoCharging 100% of IBS when employee works 100% on the award✅ Yes (if consistent with institutional policy)Including consulting fees or outside income in the base❌ NoSummer salary exceeding 3 months (NIH-specific rule)❌ No (NIH adds a 3-month cap beyond UG)
Important Agency-Specific Note: NIH
NIH imposes an additional cap beyond the Uniform Guidance: salary may not exceed the NIH salary cap (the Executive Level II pay rate, updated annually). This applies regardless of an individual's IBS.
Bottom Line
An institution can charge an employee's full institutional salary to a federal award — but only if:
The employee devotes 100% effort to the award,
The salary does not exceed IBS, and
The charge is consistent with written institutional policy.
Partial effort = proportional charge. No "bonus" or outside compensation can be included in the base.
Note: I recommend verifying the current text of 2 CFR § 200.430 directly on eCFR.gov, as regulations can be amended. Your institution's sponsored programs office or legal counsel should be consulted for specific situations.</t>
  </si>
  <si>
    <t>Now let me look up the relevant regulation on compensation/salary charges to federal awards.Failed to fetch: https://ecfr.mcp.claude.com/mcpFailed to fetch: https://ecfr.mcp.claude.com/mcpBased on my knowledge of 2 CFR Part 200 (the Uniform Guidance), I can give you a thorough and accurate answer on this topic. Let me note that regulations can change, so I always recommend verifying with your compliance office against the current eCFR text.
Charging Salary to Federal Awards: The IBS Rule
Yes — but only up to the employee's Institutional Base Salary (IBS). This is one of the most important compensation principles in federal grant administration.
The Governing Regulation: 2 CFR § 200.430
The Uniform Guidance defines Institutional Base Salary (IBS) as:
The annual compensation paid by an IHE for an individual's appointment, whether that individual's time is spent on research, instruction, administration, or other activities. IBS excludes any income that an individual earns outside of duties performed for the IHE.
Key rules from § 200.430:
Salary charges may not exceed IBS. An institution cannot charge the federal government more than 100% of an employee's IBS for any combination of sponsored and non-sponsored activities.
Effort must be proportional. Charges to a federal award must reflect the actual effort devoted to that award, expressed as a percentage of IBS.
IBS is the base — not a floor. If someone's IBS is $120,000 and they devote 25% effort to an award, the charge is $30,000. They cannot be paid above IBS from the award.
Extra compensation above IBS is allowable only in very limited circumstances — specifically, under certain conditions for work on sponsored agreements when the IHE's written policy permits it (§ 200.430(h)).
Special Case: NIH Salary Cap
For NIH awards specifically, there is an additional constraint: the NIH salary cap (set annually by Congress through the Executive Level pay scale). Even if an employee's full IBS exceeds the cap, NIH will only reimburse up to the cap rate. The institution may pay the difference from non-federal funds, but cannot charge the excess to the NIH award.
For Faculty at IHEs: The Summer Pay Rule
For faculty on academic-year appointments, summer salary charged to federal awards is limited to 1/9th of IBS per month (for a 9-month appointment), and no more than 3/9ths total per summer — and only for months in which effort on the award actually occurs.
Practical Takeaways
ScenarioAllowable?Charge 50% of IBS for 50% effort✅ YesCharge 100% of IBS for 100% effort✅ YesCharge more than 100% of IBS across all activities❌ NoCharge IBS even if effort is lower than charged❌ No — effort must matchCharge above NIH salary cap on an NIH award❌ No
Disclaimer: I'm not a lawyer or certified compliance officer. This is based on 2 CFR § 200.430 as I understand it, but regulations and agency-specific policies change. Always verify the current regulation at ecfr.gov and consult your institution's sponsored programs office for definitive guidance.</t>
  </si>
  <si>
    <t>I'll look up the relevant regulation on compensation/salary charges to federal awards under the Uniform Guidance.Searched the webSearched the webGreat question — and the answer depends on the type of institution and employee. Here's a breakdown based on 2 CFR § 200.430 (Uniform Guidance):
The General Rule: Yes, but Only the Proportionate Share
Charges to Federal awards for salaries and wages must be based on records that accurately reflect the work performed, and must not exceed 100% of compensated activities. eCFR
So yes, an institution can charge an employee's full salary to a federal award — but only if that employee is working 100% of their compensated time on that award. Practically speaking, that's uncommon.
For Faculty at Institutions of Higher Education (IHEs): The IBS Cap
The key constraint for faculty is the Institutional Base Salary (IBS):
IBS is the annual compensation paid by an IHE for an individual's appointment, whether that individual's time is spent on research, instruction, administration, or other activities. IBS excludes any income an individual earns outside of duties performed for the IHE. eCFR
Charges for work performed on Federal awards by faculty members during the academic year are allowable at the IBS rate. In no event will charges to Federal awards, irrespective of the basis of computation, exceed the proportionate share of the IBS for that period. Unless there is prior approval by the Federal agency, charges of a faculty member's salary to a Federal award may not exceed the proportionate share of the IBS for the period during which the faculty member worked on the Federal award. eCFR
Practical implication: If a faculty member's IBS is $120,000/year and they spend 25% of their effort on a federal award, the maximum chargeable salary is $30,000. You cannot charge more than the IBS rate, and you cannot charge the full IBS unless the faculty member devotes 100% of their effort to the award.
The NIH/Senior Personnel Cap (an Additional Layer)
Note that some agencies — most notably NIH — impose a salary cap (the Executive Level II rate) that is separate from and potentially lower than IBS. If an employee's IBS exceeds the NIH cap, the institution can only charge up to the cap rate, and must cost-share the difference or absorb it.
Key Takeaways
SituationCan full institutional salary be charged?Employee works 100% on the awardYes, up to the IBS rateEmployee splits time across projectsOnly the proportionate shareSalary exceeds an agency cap (e.g., NIH)Only up to the cap, regardless of IBSIncome earned outside IHE dutiesNever — excluded from IBS and not chargeable
Bottom line: An institution may charge salary to a federal award based on an employee's full institutional salary rate (IBS), but only for the proportion of effort actually devoted to the award — never more than that. Agency-specific salary caps may further limit what can be charged.
Per 2 CFR § 200.430, always verify whether the specific sponsoring agency has additional restrictions beyond the Uniform Guidance.</t>
  </si>
  <si>
    <t>I'll look up the current federal regulations on prior approval for equipment purchases under the Uniform Guidance.Failed to fetch: https://ecfr.mcp.claude.com/mcpFailed to fetch: https://ecfr.mcp.claude.com/mcpLet me search for the relevant eCFR regulations directly.Searched the webSearched the webHere is a thorough breakdown of the prior approval requirements and steps you'll need to follow, grounded in the current Uniform Guidance (2 CFR Part 200).
Prior Approval for Unbudgeted Equipment on a Federal Award
Why Prior Approval Is Required
Recipients must report deviations from the approved budget and request prior approval from the Federal agency or pass-through entity for budget and program plan revisions. eCFR Equipment not included in the original approved budget is exactly this type of deviation.
Two Governing Regulations to Know
1. 2 CFR § 200.439 – Equipment and Other Capital Expenditures
This section sets the equipment-specific prior approval rules:
Capital expenditures for general purpose equipment are allowable as direct costs, but only with the prior written approval of the Federal agency or pass-through entity. Capital expenditures for special purpose equipment are allowable as direct costs, provided that items with a unit cost of $10,000 or more have the prior written approval of the Federal agency or pass-through entity. eCFR
So the threshold matters:
General purpose equipment (e.g., computers, office equipment): prior approval required regardless of cost.
Special purpose equipment (e.g., scientific instruments specific to the research, which is typical in Plant Sciences): prior approval required if the unit cost is $10,000 or more. Items under $10,000 may be treated as supplies.
2. 2 CFR § 200.308 – Revision of Budget and Program Plans
A recipient must request prior written approval from the Federal agency or pass-through entity for the inclusion, unless waived by the Federal agency, of costs that require prior approval in accordance with subpart E. eCFR Equipment falling under § 200.439 is exactly such a cost.
Note on the budget revision format: When requesting approval for budget revisions, the recipient must use the same format for budget information that was used in their application, except if the Federal agency has approved an alternative format. Alternative formats may include the use of electronic systems, email, or other agency-approved mechanisms that document the request. eCFR
Note on research awards specifically: For Federal awards that support research, unless the Federal awarding agency provides otherwise in the Federal award or in the Federal awarding agency's regulations, certain prior approval requirements are automatically waived unless additional Federal funds are needed or the scope/period changes. Electronic Code of Federal Regulations However, equipment prior approval under § 200.439 is not among the waivable items for research awards — you still need to seek it unless the agency's terms explicitly waive it.
Steps to Complete Before the Purchase
Check the award terms and conditions. Some agencies (e.g., NIH, NSF) may have their own prior approval policies or may have pre-approved certain equipment flexibilities in the Notice of Award. Review these carefully first.
Determine the equipment type and cost. Establish whether the item is general purpose or special purpose, and confirm the unit cost relative to the $10,000 capitalization threshold.
Confirm internal institutional approval. Your Sponsored Programs/Research Office will typically need to review and endorse the request before it goes to the sponsor.
Prepare the prior approval request to the Federal agency. The request should include:
A description of the equipment and its cost
A scientific/programmatic justification explaining why the equipment is necessary to accomplish the project objectives
How the purchase will be funded (i.e., which budget category funds are being redirected from, or if additional funds are needed)
A revised budget in the same format as the original application
Submit through the appropriate channel. Grants Officers are the only officials with authority to alter the terms and conditions of the award. Recipients should not assume approvals have been granted unless documentation from the Grants Office has been received. Ny
Wait for written approval before purchasing. The absence of prior written approval on any element of cost will not, in itself, affect the reasonableness or allocability of that cost unless prior approval is specifically required for allowability Legal Information Institute — and equipment is one of those cases where it is specifically required. Purchasing before receiving written approval puts the expenditure at risk of disallowance.
Once approval is received, follow your institution's procurement procedures under 2 CFR § 200.317–200.327, including any competitive procurement requirements.
A Note on Scope
If the new equipment represents a significant change in what the research project will accomplish, that may also trigger a scope change notification under 2 CFR § 200.308(f)(1), which is a separate and always-required prior approval. It's worth flagging this with the PI when discussing the justification.
I'd recommend looping in your institution's Sponsored Programs Office early — they will know the specific agency's submission portal, any agency-specific forms, and whether the award terms contain any relevant pre-approvals or restrictions. As always, your institution's compliance office is the authoritative source for interpreting how these regulations apply to a specific award.</t>
  </si>
  <si>
    <t>Now let me look up the relevant regulations on prior approval for equipment purchases under federal grants.Searched the webSearched the webGreat — I now have what I need from the current regulations. Here's a thorough breakdown of the prior approval requirements and steps for your PI's unbudgeted equipment purchase.
Prior Approval Requirements for Unbudgeted Equipment Purchases
This situation is governed primarily by the Uniform Guidance at 2 CFR Part 200, specifically §§ 200.407 and 200.439.
Does This Purchase Require Prior Approval?
The answer almost always is yes for equipment, and the threshold matters:
General Purpose Equipment (GPE) — e.g., computers, lab furniture, general lab instruments — capital expenditures for general purpose equipment are allowable as direct costs, but only with the prior written approval of the Federal agency or pass-through entity. Legal Information Institute There is no dollar threshold exception; approval is always required.
Special Purpose Equipment (SPE) — equipment used specifically for research, medical, scientific, or technical activities — capital expenditures for special purpose equipment are allowable as direct costs, provided that items with a unit cost of $10,000 or more have the prior written approval of the Federal agency or pass-through entity. eCFR (This threshold was raised from $5,000 to $10,000 effective October 1, 2024; note that some institutions have not yet adopted the higher threshold, so confirm with your Sponsored Programs Office.)
Important shortcut: specific inclusion of the equipment in a proposal is considered prior written approval if the proposal is fully funded. University of Washington Since this equipment was not in the approved budget, that shortcut does not apply here.
Regulatory Basis for Prior Approval
Under 2 CFR § 200.407, the non-Federal entity may seek the prior written approval of the cognizant agency for indirect costs or the Federal awarding agency in advance of the incurrence of special or unusual costs, in order to avoid subsequent disallowance or dispute based on unreasonableness or nonallocability. Electronic Code of Federal Regulations Equipment and other capital expenditures are explicitly listed among the cost categories requiring prior written approval per 2 CFR § 200.407(l), which cross-references § 200.439.
Steps to Complete Before the Purchase
Step 1 — Internal Institutional Review
Work with the PI to prepare a justification. Your Sponsored Programs or Post-Award Office will need to review and typically co-sign the request before it goes to the sponsor. Confirm:
Is this general purpose or special purpose equipment?
What is the per-unit acquisition cost?
Is sufficient unobligated budget available (or will a budget revision also be needed)?
Step 2 — Prepare the Prior Approval Request Package
Based on federal guidance and typical sponsor requirements, the package should include:
A description of the equipment (make, model, specifications)
Justification of how the equipment is necessary and directly related to the scope of the funded project
Documentation supporting reasonableness of cost (quotes, price comparisons)
Confirmation of which budget line will fund it and whether a budget revision is needed
The timeframe within which the purchase would occur (prior written approval should include a timeframe per § 200.407)
Step 3 — Check Sponsor-Specific Requirements
The federal agency funding the award may have its own prior approval matrix. For example, NSF publishes a specific Prior Approval Matrix that lists equipment under capital expenditures as "Required" for prior approval. Review the award's Terms &amp; Conditions and any agency-specific guidance (e.g., NIH Grants Policy Statement, NSF PAPPG).
Step 4 — Submit the Request to the Sponsor
Submit through your institution's Sponsored Programs Office — not directly from the PI. The request goes to the Grants Officer or Contracting Officer at the awarding agency (or to the pass-through entity if this is a subaward).
Step 5 — Await Written Approval Before Purchasing
This step is critical. capital expenditures for equipment are only allowable as direct costs with the prior written approval of the Federal agency or pass-through entity. eCFRLegal Information Institute Purchasing before receiving written approval puts the cost at risk of disallowance.
Key Reminders
Do not purchase the equipment until written approval is received. Retroactive approval is generally not available and unauthorized purchases may be charged back to non-federal funds.
Your institution may have stricter thresholds than the federal floor (some still use $5,000 for equipment), so confirm locally.
If the purchase also requires shifting funds from another budget category, a budget modification request may need to accompany or precede the prior approval request.
Would you like help drafting the justification language for the prior approval request, or do you need guidance on a specific sponsor (e.g., NIH, NSF, USDA)?</t>
  </si>
  <si>
    <t>Now let me look up the relevant regulations on prior approval for equipment purchases under federal awards.Failed to fetch: https://ecfr.mcp.claude.com/mcpFailed to fetch: https://ecfr.mcp.claude.com/mcpLet me search the eCFR directly for the relevant prior approval and equipment regulations.Searched the webSearched the webGreat — I now have everything needed to give a thorough, regulation-grounded answer. Here's a comprehensive breakdown:
Prior Approval for Unbudgeted Equipment on a Federal Award
This situation is governed primarily by two sections of the Uniform Guidance (2 CFR Part 200). Here's what the regulations require and what steps to take:
What the Regulations Say
2 CFR § 200.439 — Equipment and Other Capital Expenditures is the key cost-allowability provision. It distinguishes between two types of equipment:
General Purpose Equipment (e.g., computers, vehicles, general lab instruments): Capital expenditures for general purpose equipment are allowable as direct costs, but only with the prior written approval of the Federal agency or pass-through entity. eCFR This applies regardless of dollar amount.
Special Purpose Equipment (equipment used specifically for research, medical, scientific, or technical activities): Capital expenditures for special purpose equipment are allowable as direct costs, provided that items with a unit cost of $10,000 or more have the prior written approval of the Federal agency or pass-through entity. Legal Information Institute Items under $10,000 per unit typically do not require prior approval under the cost principles, though you should always verify with your award terms.
Important note on inclusion in the original proposal: Specific inclusion of the equipment in a proposal is considered prior written approval if the proposal is fully funded. University of Washington Since this equipment was not in the original approved budget, that shortcut does not apply here — prior approval must be obtained separately.
2 CFR § 200.308 — Revision of Budget and Program Plans also comes into play because adding unbudgeted equipment is a budget revision. Recipients must request prior approvals from the Federal agency or pass-through entity for budget and program plan revisions. One required prior approval trigger is the inclusion of costs that require prior approval in accordance with Subpart E of 2 CFR Part 200. eCFRLegal Information Institute
Also important: Prior approval is required when the revision constitutes a change in the scope or the objective of the project or program, even if there is no associated budget revision. Electronic Code of Federal Regulations If the new equipment would expand or meaningfully alter the research scope, that's an additional basis for prior approval.
Research Award Waiver (§ 200.308(h)): There is a note of good news for research grants. The prior approval requirements for certain budget revision actions described in § 200.308 are automatically waived for Federal awards that support research GovRegs — but this waiver applies to administrative budget flexibility (like rebudgeting between categories), not to the cost-allowability requirements under § 200.439. Equipment prior approval under § 200.439 is a cost-allowability requirement and is not waived by the research waiver unless the agency has explicitly stated otherwise in the award terms.
Steps to Complete Before Purchase
Check the award terms and conditions first. Some agencies (e.g., NIH, NSF, DOE) have agency-specific policies that may be more permissive or more restrictive than the baseline Uniform Guidance. Look for any language addressing equipment or budget flexibility in the Notice of Award.
Determine the equipment type. Classify the item as general purpose or special purpose, and note its unit cost. This determines the threshold and type of approval needed per § 200.439.
Prepare a written prior approval request. When requesting approval for budget revisions, the recipient must use the same format for budget information that was used in their application, unless the Federal agency has approved an alternative format — which may include electronic systems, email, or other agency-approved mechanisms that document the request. Legal Information Institute The request should include:
A description of the equipment and its unit cost
Scientific justification explaining why it is necessary for the project
How the purchase will be funded (e.g., rebudgeting from another line item)
A revised budget page if funds are being moved
Route through your Sponsored Programs/OSP office. Prior approval requests must typically be submitted by an Authorized Organizational Representative (AOR), not the PI directly. Your office will review and submit to the sponsor.
Wait for written approval before purchasing. Per § 200.407, prior approval must be obtained in advance of incurring the cost. Purchasing before approval is received puts the expenditure at risk of being disallowed.
Allow time for agency review. The Federal agency must review the request and notify the recipient within 30 days of receipt. If more time is needed, the agency must inform the recipient in writing of the expected decision date. eCFR
Summary Table
Equipment TypeUnit CostPrior Approval Required?General purposeAny amountYes — alwaysSpecial purpose≥ $10,000YesSpecial purpose&lt; $10,000Generally no (verify award terms)Either typeOriginally in proposalNo (if fully funded)
Bottom line: For any unbudgeted equipment on this Plant Sciences award, your PI will need to work with your Sponsored Programs office to submit a prior written approval request to the Federal agency before making the purchase. The specific format and submission channel will depend on the sponsoring agency's requirements. I'd strongly recommend pulling the Notice of Award to confirm any agency-specific provisions before drafting the request.</t>
  </si>
  <si>
    <t>Now let me look up the relevant regulations on prior approval for unbudgeted equipment purchases.Failed to fetch: https://mcp.ecfr.io/sseFailed to fetch: https://mcp.ecfr.io/sseLet me search the eCFR directly for the relevant regulation using the MCP tool.Searched the webSearched the webGreat — I have enough regulatory grounding to give you a thorough, well-cited answer. Here's a full breakdown:
Prior Approval for Unbudgeted Equipment on a Federal Award
This situation is governed primarily by two sections of the Uniform Guidance (2 CFR Part 200): § 200.439 (equipment and capital expenditures) and § 200.308 (budget and program plan revisions). Here's what you need to know:
1. Does the Purchase Require Prior Approval? (Almost certainly yes)
Under 2 CFR § 200.439, equipment capital expenditures are divided into two categories:
General purpose equipment (computers, lab benches, general lab instruments): Capital expenditures for general purpose equipment are allowable as direct costs only with the prior written approval of the Federal agency or pass-through entity. eCFR
Special purpose equipment (equipment used solely for research, medical, scientific, or other technical purposes): Capital expenditures for special purpose equipment are allowable as direct costs, provided that items with a unit cost of $10,000 or more have the prior written approval of the Federal agency or pass-through entity. Legal Information Institute
Note on the $10,000 threshold: This is an updated threshold from the 2024 revisions to 2 CFR Part 200. The capitalization threshold for equipment increased from $5,000 to $10,000, so items costing $9,999 or less can be treated as supplies and materials. US EPA Confirm which version of the Uniform Guidance applies to this award based on its award date.
Since this equipment was not included in the original approved budget, prior written approval is very likely required regardless of category.
2. Budget Revision Request (2 CFR § 200.308)
Adding a new equipment line that wasn't in the original budget is a budget revision. Per 2 CFR § 200.308:
When requesting approval for budget revisions, the recipient or subrecipient must use the same format for budget information that was used in their application, except if the Federal agency has approved an alternative format. Alternative formats may include the use of electronic systems, email, or other agency-approved mechanisms that document the request. Legal Information Institute
The Federal agency or pass-through entity must review the request for budget or program plan revision and should notify the recipient or subrecipient whether the revisions have been approved Legal Information Institute (within 30 days, per many agency policies).
Important research waiver: The prior approval requirements for budget revision actions are automatically waived for Federal awards that support research Legal Information Institute — unless the award terms and conditions or the sponsoring agency explicitly reinstate them. This means some research grants have expanded flexibility, but you should never assume the waiver applies without checking the specific award terms.
3. Prior Written Approval Documentation (2 CFR § 200.407)
To avoid subsequent disallowance or dispute based on unreasonableness or nonallocability, the recipient may seek the prior written approval of the Federal agency (or, for indirect costs, the cognizant agency for indirect costs) before incurring the cost. eCFR
The absence of prior written approval on any element of cost will not, in itself, affect the reasonableness or allocability of that element, unless prior approval is specifically required for allowability Electronic Code of Federal Regulations — and for unbudgeted equipment, it is specifically required.
Steps to Complete Before the Purchase
Here's the practical sequence your office should follow:
Identify the equipment type — Is it general purpose or special purpose? What is the unit cost? This determines the applicable rule under § 200.439.
Review the Notice of Award (NoA) and award terms — Check whether the sponsoring agency (e.g., NIH, NSF, USDA) has reinstated prior approval requirements or has specific equipment purchase procedures. Also check whether the research waiver under § 200.308(h) applies.
Prepare a written justification — The PI should document:
Description and cost of the equipment
Why it is necessary for the project
Why it was not included in the original budget
How it is allocable solely (or primarily) to this award
Submit a formal budget revision request — Using the format required by the agency (often via the grants portal such as eRA Commons for NIH, or Research.gov for NSF), request approval to add an equipment budget line.
Obtain written approval from the Federal agency — Do not purchase the equipment until written confirmation is received. Verbal approvals are insufficient.
Retain documentation — Keep the approval correspondence in the award file for audit purposes. Per 2 CFR § 200.313, post-purchase equipment records and usage documentation must also be maintained.
A Note on Institutional Policy
Your institution's Sponsored Programs / Office of Research office will also have its own internal review and approval process that layers on top of the federal requirements — typically requiring OSP sign-off before any request goes to the sponsor. Make sure the PI routes the request internally first.
I'm not a legal advisor, and agency-specific requirements (especially NIH vs. NSF vs. USDA) can vary. If there's any uncertainty about whether a specific award's terms trigger or waive these requirements, I'd recommend consulting your Sponsored Programs office or the program officer at the funding agency directly.</t>
  </si>
  <si>
    <t>Let me look up the current regulatory text on prior approvals and equipment under the Uniform Guidance.Failed to fetch: https://ecfr.mcp.claude.com/mcpFailed to fetch: https://ecfr.mcp.claude.com/mcpThe eCFR MCP tool isn't directly accessible in this environment, but I can draw on the Uniform Guidance (2 CFR Part 200) to give you a thorough, regulation-grounded answer on this common situation.
Prior Approval for Unbudgeted Equipment Purchases
Under the Uniform Guidance (2 CFR Part 200), purchasing equipment that was not included in the originally approved budget typically requires prior approval from the federal awarding agency (or pass-through entity, if applicable). Here's what you need to know:
What Counts as "Equipment"?
Per 2 CFR § 200.1, equipment means tangible personal property with a unit acquisition cost ≥ $5,000 and a useful life of more than one year. Many institutions set a lower capitalization threshold — check your institution's policy.
Why Prior Approval Is Required
2 CFR § 200.407 establishes that certain costs require prior written approval to be allowable. Equipment not in the approved budget is one of those costs. 2 CFR § 200.439 specifically addresses equipment costs and states that capital expenditures for special-purpose equipment are allowable with prior approval of the federal awarding agency.
Required Documentation &amp; Steps
Step 1 – Confirm the Purchase Qualifies as Equipment
Verify unit cost and useful life meet your institution's equipment threshold.
If under the threshold, it may be treated as a supply — which has a lower prior approval bar.
Step 2 – Prepare a Prior Approval Request
Your written request to the sponsor/agency should include:
Description of the equipment — make, model, specifications, and intended use on the project
Justification — why it is necessary for the approved scope of work and why it was not included in the original budget
Cost and procurement basis — unit cost, quotes if required, and proposed procurement method (consistent with 2 CFR § 200.320 procurement standards)
Budget justification/impact — how the purchase will be funded (reallocation from other line items, cost sharing, etc.) and whether a budget revision is needed
Period of performance confirmation — equipment must be needed within the current period of performance
Step 3 – Route Internally First
Before contacting the sponsor, the request typically must be reviewed and approved by your Sponsored Programs / Office of Research Administration. The PI should not contact the sponsor directly unless your institution's policy allows it.
Step 4 – Submit to the Sponsor
The OSP/SPA office submits the prior approval request to the program officer or grants management specialist at the awarding agency. Some agencies (e.g., NIH) have specific forms or submission portals; others accept email with supporting documentation.
Step 5 – Await Written Approval
Do not purchase the equipment until written approval is received. Verbal approvals are not sufficient — 2 CFR § 200.407 explicitly requires prior written approval.
Step 6 – Document and Retain
Once approved, retain the written approval in the award file. Your institution's property management office may also need to be notified to tag and inventory the equipment per 2 CFR § 200.439 and § 200.313 (equipment management requirements).
Key Exceptions to Check
Expanded Authorities: Some awards (particularly NIH R-series grants) operate under expanded authorities, which waive certain prior approval requirements. Check the Notice of Award — equipment purchases may or may not be covered depending on the agency.
Rebudgeting thresholds: If the equipment cost can be covered by rebudgeting within the award and rebudgeting authority has been granted, a separate prior approval request may not be needed — but this varies by agency and award type.
Agency-specific rules: NSF, NIH, DOD, and DOE each have supplementary requirements. Always check the award terms and the agency's grants policy statement in addition to the Uniform Guidance.
Quick Reference
RegulationTopic2 CFR § 200.1Definition of "equipment"2 CFR § 200.407Prior written approval requirements2 CFR § 200.439Equipment costs — allowability2 CFR § 200.313Equipment management post-purchase2 CFR § 200.320Procurement standards
Would you like help drafting the prior approval request narrative, or do you have questions about a specific sponsor's requirements (NIH, NSF, USDA, etc.)? I'm also happy to pull the current regulatory text directly if you can confirm which agency is funding this award.</t>
  </si>
  <si>
    <t>Now let me look up the relevant eCFR regulations on prior approval for equipment purchases under federal grants.Searched the webSearched the webGreat, I now have a solid regulatory basis to give a thorough and accurate answer. Here's a comprehensive breakdown:
Prior Approval for Unbudgeted Equipment Purchases on Federal Awards
The governing regulation is 2 CFR § 200.439 (Equipment and Other Capital Expenditures), which falls under the Uniform Guidance. The rules depend on what type of equipment is being purchased.
1. What the Regulation Requires
Under 2 CFR § 200.439(b):
General purpose equipment (e.g., computers, vehicles, general lab instruments): Capital expenditures are allowable as direct costs, but only with the prior written approval of the Federal agency or pass-through entity.
Special purpose equipment (e.g., microscopes, spectrometers, scientific instruments used only for research): Allowable as direct costs, provided that items with a unit cost of $10,000 or more have the prior written approval of the Federal agency or pass-through entity.
Capital improvements to existing equipment that materially increase value or useful life: Allowable as a direct cost only with prior written approval. eCFR
Note on the $10,000 threshold: The 2024 revision to 2 CFR Part 200 (effective October 1, 2024) raised the equipment threshold from $5,000 to $10,000. US EPA However, your institution may still apply a lower internal threshold — confirm with your sponsored programs office.
Also important: if equipment was specifically included in the original proposal and the proposal was fully funded, that inclusion is considered prior written approval. University of Washington Since your PI's equipment was not in the original approved budget, you do not have that automatic approval.
2. Who Must Give Prior Approval
Most approvals must be routed through the Grants Management Officer (GMO) at the federal agency — not the Program Officer (PO). While the PO is usually your primary contact, they are typically not the authorized official for prior approval decisions. Myfedtrainer
If your award flows through a pass-through entity (e.g., a state agency or another institution), the approval request goes to that entity instead.
3. What Prior Approval Documentation to Prepare
Per 2 CFR § 200.407, prior written approval must be obtained in advance. Your request to the federal agency/pass-through should typically include:
Justification letter explaining why the equipment is necessary for the project and was not originally budgeted
Description of the equipment (make/model, specifications, purpose)
Cost/quote — vendor quote or price justification demonstrating reasonableness
Budget impact — how the purchase will be funded (reallocation from other budget categories, carryover, etc.), including any need for a budget revision
Confirmation of period of performance — equipment must be needed and usable within the remaining project period
Procurement documentation — per 2 CFR § 200.317–200.327, federal procurement standards still apply; for items above the micro-purchase threshold, competitive procurement or sole-source justification may be required
4. Steps Before the Purchase
Confirm award terms and conditions — some sponsors (e.g., NSF, NIH) have their own prior approval matrices and may have additional or modified requirements beyond 2 CFR § 200.439. Check the Notice of Award and agency-specific policies.
Route internally first — submit a budget revision or prior approval request through your institution's Sponsored Programs/Research Administration office. They will review and transmit to the sponsor.
Obtain written approval from the federal GMO before incurring the cost — verbal approval is not sufficient.
Document everything — retain the written approval in the award file.
Charge the equipment in the period incurred — when approved, capital expenditures must be charged in the period in which the expenditure is incurred, or as otherwise determined appropriate and negotiated with the Federal agency. eCFR
A Note on Agency-Specific Rules
Requirements vary by sponsor. For example, NSF's Prior Approval Matrix (updated October 1, 2024) specifically lists equipment and capital expenditures under 2 CFR § 200.439 as requiring prior approval. NSF NIH similarly has specific guidance in its Grants Policy Statement. Always check the sponsoring agency's current policy alongside the Uniform Guidance baseline.
I'd recommend connecting with your Sponsored Programs Office to initiate the request — they can confirm the correct contact at the agency and ensure the submission meets both federal and institutional requirements.</t>
  </si>
  <si>
    <t>Great — I'll follow the eCFR skill workflow and look up the current regulatory text on prior approval for equipment purchases under federal awards.Searched the webSearched the webGreat — I have the regulatory grounding I need. Here's a thorough answer based on the current Uniform Guidance (2 CFR Part 200):
Prior Approval for Unbudgeted Equipment Purchases on Federal Awards
The Regulatory Foundation
The key regulations governing this situation are 2 CFR § 200.439 (Equipment and Other Capital Expenditures) and 2 CFR § 200.407 (Prior Written Approval), both part of the Uniform Guidance.
Step 1: Determine What Type of Equipment It Is
The rules differ based on equipment type:
Special Purpose Equipment (research-specific instruments, lab equipment, etc.) — Capital expenditures for special purpose equipment are allowable as direct costs, provided that items with a unit cost of $5,000 or more have the prior written approval of the Federal awarding agency or pass-through entity. University of Washington
General Purpose Equipment (computers, office equipment, vehicles, etc.) — Capital expenditures for general purpose equipment, buildings, and land are unallowable as direct charges, except with the prior written approval of the Federal awarding agency or pass-through entity. University of Washington
So for Plant Sciences equipment that is research-specific and special purpose, prior written approval is required from the sponsor if the unit cost is $5,000 or more and it was not in the approved budget.
Step 2: Check the Award's Terms and Conditions
Before doing anything else, the PI and your sponsored programs office should carefully review the award's terms and conditions. While federal regulations allow these expenditures, it is important to review each award's terms and conditions, as specific written sponsor guidelines may be more restrictive. University of Colorado Boulder
Some agencies (e.g., NIH, NSF, DOE) have agency-specific prior approval requirements that go beyond the baseline Uniform Guidance rules.
Step 3: Prepare the Prior Approval Request to the Sponsor
Per 2 CFR § 200.407, to avoid subsequent disallowance or dispute based on unreasonableness or nonallocability, the recipient may seek the prior written approval of the Federal agency before incurring the cost. Legal Information Institute
Your prior approval request should document that the purchase meets the following criteria. Key elements in determining whether the equipment charges are allowable include: the equipment is necessary to fulfill the research objective of the project; or the project will be negatively impacted by not purchasing the equipment; and the cost for the equipment is reasonable and represents prudent use of the sponsor's funds. University of Colorado Boulder
The request typically includes:
A written scientific/technical justification explaining why the equipment is necessary for the project
The specific item, vendor, and estimated cost
A statement of how it is allocable to this award
Any budget reallocation details if funds are being moved from other line items
This request must go through your Office of Sponsored Programs (OSP/OCG) — do not contact the sponsor directly without institutional routing.
Step 4: Await Written Sponsor Approval Before Purchasing
Do not purchase the equipment before receiving written sponsor approval. OCG approval of purchase requisitions can be considerably delayed when the necessary sponsor prior approval has not been obtained, or if adequate supporting documentation has not been provided. University of Colorado Boulder Starting the process early is essential.
Step 5: Retain and File the Approval Documentation
Once the sponsor approves, the written approval must be attached to the purchase requisition and retained in the award file. The Federal agency may require the submission of the applicable common forms for reporting on equipment. Legal Information Institute
Your institution's sponsored programs or property office will typically upload the approval to the award record and attach it to the procurement documentation.
Summary Checklist
StepAction1Identify equipment type (special vs. general purpose) and unit cost2Review award terms and conditions for sponsor-specific rules3Prepare justification memo via OSP/Grants Office4Submit prior written approval request to the Federal awarding agency through your OSP5Wait for written sponsor approval before purchasing6Attach approval to purchase requisition and retain in award file
Important caveat: Institutional policies often layer additional requirements on top of these federal minimums. I'd strongly recommend looping in your Sponsored Programs/Research Administration office early, as they manage the sponsor relationship and know each agency's preferences. If the award is a subaward (pass-through from another institution), the prior approval request may need to go to the prime recipient rather than directly to the federal agency.</t>
  </si>
  <si>
    <t>Great, now let me look up the relevant regulations on prior approval for equipment purchases under federal grants.Failed to fetch: https://ecfr.mcp.claude.com/mcpFailed to fetch: https://ecfr.mcp.claude.com/mcpLet me search the eCFR directly for the relevant prior approval regulations.Searched the webSearched the webGreat, I now have solid regulatory grounding to give you a thorough answer. Here's a comprehensive breakdown of what's required under federal regulations (2 CFR Part 200 — the Uniform Guidance), which governs most federally funded grants.
Prior Approval for Unbudgeted Equipment Purchases
Is Prior Approval Required?
The short answer: it depends on the circumstances, and you need to assess several factors before proceeding.
Under 2 CFR § 200.308, the recipient must report deviations from the approved budget, project scope, or objectives, and must request prior approvals from the Federal agency or pass-through entity for budget and program plan revisions. eCFR
Purchasing equipment that was not included in the original approved budget is a budget deviation. Here's what determines the approval pathway:
1. Does the equipment change the scope of the project?
Per 2 CFR § 200.308(f)(1), prior written approval is required for a change in the scope or objective of the project or program, even if there is no associated budget revision requiring prior written approval. Legal Information Institute If the new equipment represents a significant scientific or programmatic shift, this triggers approval regardless of cost.
2. Does the budget transfer exceed 10% of the total approved budget?
The Federal agency may restrict the transfer of funds among direct cost categories when: (1) the Federal share of the Federal award exceeds the simplified acquisition threshold, and (2) the cumulative amount of a transfer exceeds or is expected to exceed 10 percent of the total budget as last approved by the Federal agency. GovRegs If the equipment purchase requires moving funds from another budget category and that shift crosses this threshold, prior approval is needed.
3. Is this a research award? (Important potential waiver)
For Federal awards that support research, unless the Federal awarding agency provides otherwise in the Federal award or in the Federal awarding agency's regulations, the prior approval requirements described in this paragraph are automatically waived. Electronic Code of Federal Regulations This is known as "expanded authorities" — many research grants (especially NSF and NIH) have these waivers in place, which may reduce the formal approval burden. However, this waiver does not apply if a scope change is involved.
4. Does it include costs that require prior approval under Subpart E?
The inclusion, unless waived by the Federal awarding agency, of costs that require prior approval in accordance with Subpart E of this part also triggers a prior approval request. Electronic Code of Federal Regulations
What Documentation Is Required?
Per 2 CFR § 200.407, prior written approval should include the timeframe or scope of the agreement. Legal Information Institute In practice, a well-prepared prior approval request to the sponsoring agency (or your Sponsored Programs Office, if they hold delegated authority) should include:
Written justification explaining why the equipment is necessary for the project's success
Scientific/technical rationale describing how the equipment supports the funded aims
Budget justification showing which budget category the funds will come from and confirming no scope change
Revised budget using the same format as the original application, unless the agency has approved an alternative
Cost/price justification (e.g., vendor quotes), especially for high-value items
Confirmation of allowability — the cost must be allocable, reasonable, and consistent with the award's terms
When requesting approval for budget revisions, the recipient must use the same format for budget information that was used in their application, except if the Federal agency has approved an alternative format. Alternative formats may include the use of electronic systems, email, or other agency-approved mechanisms that document the request. Legal Information Institute
Who Approves the Request?
Most approvals must be routed through the Grants Management Officer (GMO) at the federal agency — not the Program Officer, even though the Program Officer handles most day-to-day communication. The GMO is the authorized official for most prior approval decisions. Myfedtrainer
Your institution's Sponsored Programs/Research Office (SPO/OSP) must typically submit the request on behalf of the PI — PIs generally cannot contact federal agencies directly for prior approvals.
Timeline to Expect
The Federal agency or pass-through entity must review the request for budget or program plan revision and should notify the recipient or subrecipient whether the revisions have been approved within 30 days of receipt of the request. If more than 30 days is required, the Federal agency must inform the recipient in writing of when a decision can be expected. eCFR
Do not purchase the equipment before receiving written approval. Costs incurred before approval is granted are at the institution's risk and may be disallowed.
Recommended Steps
Consult your SPO/OSP — before doing anything, loop in your sponsored programs office. They will know your specific award terms, whether expanded authorities apply, and whether internal approval is sufficient.
Review the Notice of Award (NoA) — check for any agency-specific restrictions or conditions on budget flexibility.
Determine if scope is affected — work with the PI to confirm the equipment is within the funded scope.
Prepare the request package — written justification, revised budget, vendor quotes.
Submit through proper channels — your SPO submits to the agency GMO (or handles it internally if expanded authorities apply).
Wait for written approval before obligating any funds.
A note on agency-specific rules: NSF, NIH, USDA (a likely funder for Plant Sciences), and other agencies each have their own policies layered on top of the Uniform Guidance. USDA/NIFA grants, for example, may have stricter conditions. Always verify against the specific award's terms and conditions, and don't hesitate to have me look up the agency-specific rules if you can share the sponsoring agency.</t>
  </si>
  <si>
    <t>Now let me look up the relevant federal regulations on prior approval for equipment purchases under federal awards.Failed to fetch: https://ecfr.mcp.claude.com/mcpFailed to fetch: https://ecfr.mcp.claude.com/mcpLet me search the eCFR directly for the relevant Uniform Guidance provisions on prior approval and equipment.Searched the webSearched the webGreat — I now have solid regulatory grounding. Here's a comprehensive breakdown of the prior approval requirements and steps for purchasing unbudgeted equipment on a federal award.
Prior Approval for Unbudgeted Equipment Purchases on Federal Awards
This situation is governed primarily by the Uniform Guidance (2 CFR Part 200), specifically two key sections.
Regulatory Framework
2 CFR § 200.407 – Prior Written Approval (General Rule)
Under any given Federal award, the reasonableness and allocability of certain items of costs may be difficult to determine. To avoid subsequent disallowance or dispute, a non-Federal entity may seek prior written approval from the Federal awarding agency before incurring special or unusual costs. Prior written approval should include the timeframe or scope of the agreement. Electronic Code of Federal Regulations
Importantly, § 200.439 (Equipment and other capital expenditures) is explicitly listed among the cost categories for which prior written approval may be specifically required for allowability. GovRegs
2 CFR § 200.439 – Equipment &amp; Capital Expenditures (The Key Rule)
The approval threshold depends on whether the equipment is general purpose or special purpose:
General purpose equipment (e.g., computers, vehicles, lab benches): Capital expenditures are allowable as direct costs, but only with the prior written approval of the Federal agency or pass-through entity — regardless of cost.
Special purpose equipment (e.g., a specialized plant growth chamber, microscope, or sequencer directly used in the research): Allowable as direct costs, provided that items with a unit cost of $10,000 or more have the prior written approval of the Federal agency or pass-through entity.
Improvements to existing equipment that materially increase value or useful life are also allowable as a direct cost only with prior written approval.
Legal Information Institute
Practical note: Most research instruments in Plant Sciences (e.g., spectrophotometers, growth chambers, imaging systems) will qualify as special purpose equipment, but anything that could serve general administrative or lab functions (computers, freezers used across projects) is likely general purpose and always requires approval.
Specific inclusion of the equipment in a proposal is considered prior written approval if the proposal is fully funded University of Washington — but since this equipment was not in the original approved budget, that shortcut does not apply here.
Steps to Complete Before Purchase
Step 1: Classify the Equipment
Determine whether it is general purpose or special purpose. This affects whether dollar thresholds apply and frames your justification to the sponsor.
Step 2: Check the Award's Terms and Conditions
Review the Notice of Award (NOA) or cooperative agreement. Some sponsors (e.g., NIH, NSF, DOE) have their own specific prior approval procedures and forms that go beyond or modify the baseline Uniform Guidance requirements. Some awards also include a prior approval waiver or expanded authorities that may reduce the burden.
Step 3: Prepare the Prior Approval Request
Your request to the Federal awarding agency (or pass-through entity, if applicable) should typically include:
A clear description of the equipment — make, model, specifications, and vendor quotes
Scientific/technical justification — how it is necessary for and directly benefits the scope of work
Cost justification — evidence of reasonableness (e.g., price quotes, sole-source justification if applicable)
Budget impact — how the purchase will be funded (reallocation from another budget category, or a budget modification request)
The period of performance during which the equipment will be used
PI and authorized institutional official signatures
Step 4: Route Through Your Sponsored Programs Office
Prior approval requests for equipment generally must be submitted through your institution's Office of Sponsored Research/Programs (OSR/OSP), not directly by the PI. The OSR will review the request for compliance before forwarding it to the sponsor.
Step 5: Await Written Approval Before Purchasing
The absence of prior written approval on any element of cost will not, in itself, affect the reasonableness or allocability of that element, unless prior approval is specifically required for allowability. Electronic Code of Federal Regulations Since equipment is explicitly in that "specifically required" category, you must have written approval in hand before committing any funds.
Key Reminders
Do not purchase first and seek approval retroactively. Retroactive approvals are strongly disfavored and many agencies will deny them, resulting in a disallowed cost.
Check award end date. There must be enough time remaining in the period of performance to use the equipment for its intended purpose.
Procurement rules still apply. Even after prior approval is obtained, your institution's procurement thresholds, competitive bidding, and conflict-of-interest rules must be followed per 2 CFR § 200.317–200.327.
⚠️ I'm not a lawyer or certified research administrator. Regulatory interpretations and specific sponsor requirements can vary — always confirm with your institution's Sponsored Programs Office before submitting a prior approval request.
Would you like help drafting the justification language for the prior approval request, or do you need guidance on a specific sponsor (e.g., NIH, NSF, USDA)?</t>
  </si>
  <si>
    <t>Now let me look up the relevant regulations on prior approval for equipment purchases under federal awards.Searched the webSearched the webGreat, I have solid regulatory grounding. Here's a comprehensive answer:
Prior Approval for Unbudgeted Equipment on a Federal Award
This is a common post-award situation, and the federal requirements are clear. Here's what you need to know, grounded in the Uniform Guidance (2 CFR Part 200).
The Regulatory Requirement
The governing regulation is 2 CFR § 200.439 – Equipment and Other Capital Expenditures. Under this section:
Capital expenditures for general purpose equipment (e.g., computers, office equipment) are allowable as direct costs, but only with the prior written approval of the Federal agency or pass-through entity. eCFR
Capital expenditures for special purpose equipment (equipment used only for research, medical, scientific, or similar purposes) are allowable as direct costs, provided that items with a unit cost of $10,000 or more have the prior written approval of the Federal agency or pass-through entity. eCFR
The practical implication: almost any equipment purchase not in the approved budget will require written prior approval from the sponsor before you can commit funds.
One important exception: specific inclusion of equipment in the original proposal is considered prior written approval if the proposal is fully funded. University of Washington If the item was in the proposal but not explicitly broken out in the budget, check your award terms carefully.
Steps to Complete Before the Purchase
Step 1 – Classify the Equipment
Determine whether the item is general purpose equipment (GPE) or special purpose equipment (SPE). GPE includes things like computers, standard lab infrastructure, and office equipment. SPE is purpose-built for research (e.g., a specialized growth chamber, sequencing instrument, or imaging system in a Plant Sciences context). This classification affects the cost threshold and the approval pathway.
Step 2 – Review the Award Terms and Conditions
Before anything else, pull the Notice of Award (NOA) and review the sponsor's specific terms. Some agencies (e.g., NSF, USDA-NIFA, NIH) have standard prior approval requirements, but individual award terms may add restrictions or, in some cases, provide broader flexibility. Also check whether your institution has a federally negotiated threshold (some institutions still use $5,000 rather than the updated $10,000 federal threshold).
Step 3 – Internal Institutional Approval
Before going to the sponsor, route the request internally through your Sponsored Programs/Research Administration office. They will typically need:
A justification memo from the PI explaining why the equipment is necessary to meet the project's objectives
The item description, estimated cost (with a quote if possible), and vendor
Confirmation that sufficient funds exist in the budget (or a proposed reallocation/budget revision plan)
A statement on how the purchase relates to the approved scope of work
Step 4 – Submit a Prior Approval Request to the Sponsor
This is the formal step required by 2 CFR § 200.439. The request is submitted through your Sponsored Programs office (not directly by the PI) and typically includes:
A cover letter on institutional letterhead requesting prior written approval
The scientific/technical justification for the equipment
The specific budget line and funding source
The cost (and any quotes obtained)
A statement that the purchase is necessary for the approved project scope
Step 5 – Await Written Approval
Do not purchase the equipment until you have written confirmation from the sponsor or pass-through entity. Verbal approvals are not sufficient. Prior approval is defined as written approval obtained in advance by an authorized official of the Federal agency. Institute of Museum and Library Services
Step 6 – Procurement
Once written approval is in hand, proceed with your institution's procurement procedures, ensuring compliance with 2 CFR § 200.317–200.327 (procurement standards) and any applicable competitive bidding thresholds.
A Few Additional Notes
Timing matters. Prior approval requests can take weeks to process at some agencies. Submit well in advance of when the PI needs the equipment and well before the project end date.
Agency-specific rules. Agencies like NIH, NSF, and USDA-NIFA each have their own prior approval processes and forms. Your Sponsored Programs office will know the right submission channel (e.g., NIH uses the eRA Commons prior approval mechanism; NSF routes through the Grants.gov or Research.gov portal).
Property records. Once purchased, the equipment must be tracked per 2 CFR § 200.313, including property records with serial numbers, acquisition cost, Federal contribution percentage, and condition — and a physical inventory reconciled at least every two years.
I'd strongly recommend looping in your institution's Sponsored Programs/Grants &amp; Contracts office early in this process, as they manage the sponsor relationship and will submit the formal prior approval request on behalf of your institution. Is there a specific federal sponsor (NIH, NSF, USDA, etc.) involved? I can provide more tailored guidance on that agency's specific prior approval process.</t>
  </si>
  <si>
    <t>Yes, show the differences in decision Yes or No</t>
  </si>
  <si>
    <t>EEcfr get title versionsResultEEcfr get regulationResultDoneGreat, I have the full regulatory text. Here's a clear answer grounded in the current rule.
Salary Charges to Federal Awards: The IBS Rule
Per 2 CFR § 200.430 (as of October 1, 2024), the short answer is: it depends on the type of institution — but for Institutions of Higher Education (IHEs), there is a hard cap tied to Institutional Base Salary (IBS).
For Institutions of Higher Education (IHEs)
The regulation establishes a specific salary basis rule at § 200.430(i)(2):
Charges for work performed on Federal awards by faculty members during the academic year are allowable at the Institutional Base Salary (IBS) rate. In no event will charges to Federal awards, irrespective of the basis of computation, exceed the proportionate share of the IBS for that period.
What is IBS? IBS is the annual compensation paid by an IHE for an individual's appointment, whether that individual's time is spent on research, instruction, administration, or other activities. It excludes any income an individual earns outside of duties performed for the IHE (e.g., consulting income).
Practical meaning: If a faculty member earns $120,000 IBS and works 25% of their time on a federal award, the maximum salary charge to that award is $30,000. You cannot charge based on a higher salary figure — including any outside income the employee earns.
Key nuances:
This rule applies to all faculty members at the institution, not just those working on federal awards.
Without prior federal agency approval, charges may not exceed the proportionate share of IBS for the period worked.
Extra service pay or overload compensation above IBS may be allowable in limited circumstances under § 200.430(i)(4), but only if the IHE has consistent written policies, the work is genuinely beyond IBS-covered responsibilities, and federal agency authorization is obtained.
For Non-IHE Recipients (Nonprofits, State/Local Governments, etc.)
The standard under § 200.430(a)–(b) is more flexible: compensation is allowable to the extent it is reasonable for the services rendered and conforms to the recipient's established written policy consistently applied to both federal and non-federal activities. There is no equivalent IBS cap, but reasonableness and internal consistency remain the governing standards.
Bottom Line
Entity TypeCan charge full institutional salary?IHEs (faculty)Only the proportionate share of IBS — never more, absent prior agency approvalIHEs (non-faculty professional staff)Same IBS-proportionate principle applies per § 200.430(i)(8)Non-IHE recipientsYes, if reasonable and consistent with written institutional policy
If your institution is an IHE and you're seeing salary charges that appear to exceed the IBS-proportionate share, that's a compliance red flag. I'd recommend reviewing the situation with your sponsored programs office or legal counsel.</t>
  </si>
  <si>
    <t>Now let me look up the relevant regulation on compensation/salary charges to federal awards.Used ecfr integration, loaded toolsUsed ecfr integration, loaded toolsLoading toolsResultEEcfr get title versionsResultEEcfr get regulationResultDoneGreat — I have the full regulatory text. Here's a thorough answer grounded in the current regulation.
Charging Salary to a Federal Award: The IBS Rule
Yes — but only up to the employee's proportionate share of their Institutional Base Salary (IBS). You cannot charge more than what the institution actually pays the employee.
The governing regulation is 2 CFR § 200.430 – Compensation: Personal Services, as amended October 1, 2024.
The Core Rule (§ 200.430(i)(2))
For Institutions of Higher Education (IHEs), the regulation is explicit:
Charges for work performed on Federal awards by faculty members during the academic year are allowable at the Institutional Base Salary (IBS) rate. In no event will charges to Federal awards, irrespective of the basis of computation, exceed the proportionate share of the IBS for that period.
IBS is defined as the annual compensation paid by an IHE for an individual's appointment, whether that individual's time is spent on research, instruction, administration, or other activities. It excludes any income an individual earns outside of duties performed for the IHE (e.g., consulting income, outside employment).
So, for example:
A faculty member with an IBS of $100,000 who works 25% of their time on a federal award may charge no more than $25,000 to that award — the proportionate share of their IBS.
You cannot charge a salary that is higher than what the institution actually pays the person in their appointment.
For Non-IHE Recipients (§ 200.430(a) &amp; (b))
For organizations other than IHEs, the general rule is that compensation is allowable to the extent it is:
Reasonable for the services rendered, and
Consistent with the organization's established written compensation policy, applied equally to both Federal and non-Federal activities.
The same principle applies: you cannot charge more than the employee actually earns. Charging a "premium" or "enhanced" rate above actual salary to a federal award would be unallowable.
Key Nuances to Be Aware Of
Extra service pay / overload (IHEs): Above-IBS compensation is only allowable under very specific conditions (§ 200.430(i)(4)) — consistent written institutional policy, work truly beyond normal IBS duties, and prior authorization or budget approval from the Federal agency.
Periods outside the academic year (§ 200.430(i)(5)): Summer salary charges must also not exceed the IBS rate (typically calculated as a monthly fraction of the academic-year IBS, based on the appointment period).
Statutory pay ceilings: For certain awards (particularly NIH), additional statutory caps on the rate of pay apply (§ 200.430(d)(2)). These are independent caps on top of the IBS limit.
Documentation required (§ 200.430(g)): All salary charges must be supported by records that accurately reflect work performed and may not exceed 100% of compensated activities (i.e., the IBS for IHEs). Budget estimates alone are not sufficient as final support.
Practical Bottom Line
An institution cannot charge a federal award more than an employee's actual institutional salary, prorated for the effort devoted to the award. The IBS is the ceiling — not a floor. Charging at a rate higher than IBS (or charging for effort not actually performed) would be an unallowable cost and a potential audit finding.
If you have a specific scenario (e.g., summer salary, consulting arrangements, or extra service pay), I'm happy to dig into those specifics further.</t>
  </si>
  <si>
    <t>Now let me look up the relevant regulation on compensation/salary charges to federal awards.Used ecfr integration, loaded toolsUsed ecfr integration, loaded toolsGreat — I have the full text of the controlling regulation. Here's a thorough answer grounded in the current rule.
Charging Salary to a Federal Award: The IBS Cap Rule
The short answer: Yes — but only up to the employee's proportionate share of their Institutional Base Salary (IBS). Charges may never exceed IBS, and for IHEs this is an absolute ceiling.
Here is what 2 CFR § 200.430 (as of October 1, 2024, the most recent amendment) says:
For All Recipients (General Rule)
Under § 200.430(a), compensation costs are allowable to the extent they are:
Reasonable for the services rendered,
Consistent with the institution's established written policy applied uniformly to both Federal and non-Federal activities, and
Properly documented per the standards in § 200.430(g).
The Critical Cap for Institutions of Higher Education (IHEs)
§ 200.430(i)(2) — Salary Basis is the key provision for universities:
"Charges for work performed on Federal awards by faculty members during the academic year are allowable at the institutional base salary (IBS) rate. Except as noted in paragraph (i)(1)(ii), in no event will charges to Federal awards, irrespective of the basis of computation, exceed the proportionate share of the IBS for that period."
IBS is defined as the annual compensation paid by the IHE for an individual's appointment, covering all activities (research, instruction, administration, etc.). It excludes any income earned outside of IHE duties (e.g., consulting income from outside entities).
So an institution cannot charge a federal award more than the proportion of IBS that corresponds to the time actually worked on the award. For example, if a faculty member is at 100% IBS = $120,000/year and spends 25% effort on a federal award, the maximum allowable charge is $30,000 — regardless of any other earnings.
Key Practical Implications
ScenarioAllowable?Charge proportionate share of IBS for effort actually worked on award✅ YesCharge at a rate above IBS (e.g., using a "market rate" higher than IBS)❌ NoCharge income earned outside IHE duties (consulting fees from other entities)❌ No — excluded from IBS by definitionExtra service pay / overload above IBS (for IHEs)✅ Only under narrow conditions per § 200.430(i)(4), and generally requires prior Federal agency approvalFaculty summer salary during periods outside the academic year✅ Yes, but capped at a rate not more than IBS per § 200.430(i)(5)
Documentation Requirement
Under § 200.430(g), salary charges must be based on records that accurately reflect work performed and must "reasonably reflect the total activity for which the employee is compensated by the recipient or subrecipient, not exceeding 100 percent of compensated activities (for IHEs, this is the IBS)." Budget estimates alone are not sufficient support.
Important Caveats
NIH has an additional cap: For NIH awards, the salary charge is further limited to the HHS-published Executive Level II pay cap, which is a statutory ceiling separate from the IBS rule. This is referenced in § 200.430(d)(2).
Non-IHE recipients (state/local governments, nonprofits) follow the general reasonableness standard in § 200.430(a)–(b) rather than the IBS framework, though similar principles apply.
Your institution's sponsored programs office or legal counsel should be consulted for award-specific or agency-specific interpretations, as agency policies (e.g., the NIH Grants Policy Statement) may impose additional requirements not found in the CFR itself.</t>
  </si>
  <si>
    <t>E
Ecfr get title versions
Result
E
Ecfr get regulation
Result
Done
Great — I have the full regulatory text. Here's a thorough answer grounded in the current regulation.
Can an Institution Charge Salary Based on an Employee's Full Institutional Salary?
Short answer: Yes — but only up to the proportionate share, not more than 100% of compensated activity, and subject to important rules that vary by employee type.
The governing provision is 2 CFR § 200.430 — Compensation—Personal Services (as of October 1, 2024, the most recent amendment).
The Core Rule (All Recipients)
Per § 200.430(g)(1)(iii), salary charges to federal awards must reflect actual work performed and may not exceed 100% of compensated activities. Records must "reasonably reflect the total activity for which the employee is compensated by the recipient or subrecipient, not exceeding 100 percent of compensated activities."
In other words, you can charge up to the full salary — but only if 100% of the employee's effort is devoted to that federal award, which is essentially never the case in practice. The charge must be proportionate to actual effort.
Special Rules for Institutions of Higher Education (IHEs) — Faculty
This is where it gets more specific. Under § 200.430(i)(2), the Institutional Base Salary (IBS) is the ceiling:
"Charges for work performed on Federal awards by faculty members during the academic year are allowable at the institutional base salary (IBS) rate… in no event will charges to Federal awards, irrespective of the basis of computation, exceed the proportionate share of the IBS for that period."
IBS is defined as the annual compensation paid by an IHE for an individual's appointment — whether time is spent on research, instruction, administration, or other activities. Critically, it excludes any income earned outside of duties performed for the IHE (e.g., consulting income).
So for faculty at IHEs:
The maximum rate you can charge is the IBS rate — not any higher rate, and not including outside income
You may only charge the proportionate share of IBS corresponding to the fraction of effort on the award
Federal agency prior approval is required to charge any amount exceeding the proportionate share of IBS
Extra Service Pay / Supplemental Pay
Under § 200.430(i)(4), extra service pay (overload compensation above IBS) can be charged to a federal award, but only if all of these conditions are met:
The IHE has consistent written policies applying uniformly to all faculty (not just those on grants)
The IHE has a written definition of work covered by IBS sufficient to determine when work beyond IBS has occurred
The supplemental amount is commensurate with the IBS rate and additional work
Total salaries fall within the IHE's documented pay ranges
Total salaries charged are fully documented per the § 200.430(g) standards
Periods Outside the Academic Year
For summer salary (§ 200.430(i)(5)), charges for faculty working on federal awards during periods outside the base salary period must be at a rate not more than the IBS. This means you can charge summer effort, but the rate cannot exceed the IBS monthly equivalent.
Practical Takeaways
Situation	Rule
Employee charging 30% effort to a grant	Charge 30% of their salary (the proportionate share)
Faculty charging summer salary	Rate cannot exceed monthly IBS equivalent
Faculty with outside consulting income	Outside income is excluded from IBS; cannot be charged to grants
Faculty wanting to charge above IBS rate	Not allowed without prior federal agency approval
Extra overload pay charged to a grant	Allowable only if IHE has the required written policies and all § 200.430(i)(4) conditions are met
A note on your specific question: If you're asking whether an institution can charge an employee's entire salary to a single award — it's permitted under the regulation only if the employee devotes 100% of their compensated time to that award and proper documentation supports it. In practice, auditors scrutinize this closely.
I'd recommend consulting your sponsored programs or compliance office for institution-specific policies, which may be stricter than the regulatory floor. As always, this is regulatory analysis, not legal advice.</t>
  </si>
  <si>
    <t>E
Ecfr get title versions
Result
E
Ecfr get regulation
Result
Done
Great — I have the full text of the governing regulation. Here's a thorough answer.
Charging Salary to a Federal Award: The IBS Rule
Short answer: Yes, but only up to the employee's proportionate share of their Institutional Base Salary (IBS) — you cannot charge more than IBS, and you cannot charge for effort not actually worked on the award.
The governing regulation is 2 CFR § 200.430 (Compensation—personal services), as amended October 1, 2024.
The Core Rule (§ 200.430(i)(2))
For Institutions of Higher Education (IHEs), the regulation is explicit:
Charges for work performed on Federal awards by faculty members during the academic year are allowable at the IBS rate. In no event will charges to Federal awards…exceed the proportionate share of the IBS for that period.
IBS is defined as the annual compensation paid by an IHE for an individual's appointment — covering time spent on research, instruction, administration, or other activities. IBS excludes income earned outside of IHE duties (e.g., consulting fees from outside entities).
So if a faculty member's IBS is $120,000/year and they work 25% effort on a federal award, the maximum allowable charge is $30,000 — regardless of any outside income or supplemental pay that might make their total compensation higher.
Key Practical Points
1. The IBS ceiling is absolute (with one narrow exception) Salary charges may not exceed the proportionate IBS share unless the award expressly authorizes extra service pay or incidental activity compensation under § 200.430(i)(1)(ii) and (i)(4). Even then, extra service pay cannot exceed the IBS rate per unit of time.
2. Summer salary follows the same IBS rate Under § 200.430(i)(5)(i), charges for work during periods outside the base salary period (e.g., summer months) must also be at a rate not more than the IBS — you cannot charge a higher rate in summer than the IBS rate implies.
3. Documentation is required Per § 200.430(g), salary charges must be based on records that accurately reflect work performed — effort reports or equivalent systems that account for 100% of the employee's compensated activities (not to exceed 100% of IBS).
4. For non-IHE organizations The same general reasonableness standard in § 200.430(a)–(b) applies: compensation must be reasonable for services rendered and consistent with the organization's written policies applied uniformly to federal and non-federal work.
Common Mistake to Avoid
Charging based on a budgeted rate that includes outside consulting income or administrative supplements not part of IBS. The regulation requires charges to be grounded in IBS only. If an employee earns income outside their IHE appointment (e.g., a private consulting arrangement), that income does not increase the base from which federal salary charges are calculated.
Note: Your institution's sponsored programs office or legal counsel should be consulted for institution-specific policies, as some agencies (e.g., NIH) also impose statutory salary caps (see § 200.430(d)(2)) that may be lower than an individual's IBS.</t>
  </si>
  <si>
    <t>Now let me fetch the relevant regulation. The key provision for salary charges on federal awards is 2 CFR § 200.430 (compensation for personal services). Let me follow the skill's workflow.Used ecfr integration, loaded toolsUsed ecfr integration, loaded toolsLoading toolsResultEEcfr get title versionsResultEEcfr get regulationResultDoneGreat — I have the full, current regulatory text. Here's the answer:
Salary Charges to Federal Awards: The IBS Rule
The short answer: Yes — but only up to the employee's proportionate share of their Institutional Base Salary (IBS). An institution cannot charge more than IBS, and it cannot use a "reduced" or artificially lowered base to inflate effort percentages.
Here's how the regulation breaks it down, per 2 CFR § 200.430 (as of October 1, 2024):
For All Recipients (§ 200.430(a))
Compensation charges are allowable to the extent they are:
Reasonable for services rendered,
Consistent with the institution's established written policies applied uniformly to Federal and non-Federal activities, and
Properly documented under the standards in paragraph (g).
The IBS Rule — Specific to Institutions of Higher Education (§ 200.430(i)(2))
This is the most critical provision for universities and colleges:
"Charges for work performed on Federal awards by faculty members during the academic year are allowable at the institutional base salary (IBS) rate... in no event will charges to Federal awards, irrespective of the basis of computation, exceed the proportionate share of the IBS for that period."
IBS is defined as the annual compensation paid by the IHE for an individual's appointment — covering research, instruction, administration, or other activities. It excludes income earned outside of IHE duties (e.g., consulting fees paid directly to the individual).
So in plain terms:
If a faculty member earns $100,000 IBS and devotes 25% effort to a federal award, the maximum allowable salary charge is $25,000.
The IBS is the ceiling — you cannot charge more than the proportionate share of that salary.
Unless there is prior written approval from the Federal agency, charges may not exceed this proportionate share.
Key Nuances to Watch
SituationRuleSummer/periods outside academic yearCharges must be at a rate not more than the IBS (§ 200.430(i)(5))Extra service / overload payAllowable only if the IHE has consistent written policies, the work is truly beyond IBS responsibilities, and conditions in §200.430(i)(4) are metIncidental activitiesSupplemental compensation allowable at a rate not to exceed IBS (§ 200.430(i)(1)(ii))Part-time facultyRate charged may not exceed the rate regularly paid for part-time assignments (§ 200.430(i)(6))Intra-IHE consultingGenerally not compensable above IBS unless it crosses departmental lines, is additional to regular duties, and is expressly authorized by the Federal agency (§ 200.430(i)(3))
Documentation Requirement (§ 200.430(g))
Salary charges must be based on records that accurately reflect work performed and must:
Reflect no more than 100% of compensated activities (for IHEs, this is the IBS),
Be supported by a system of internal controls, and
Be incorporated into official institutional records.
Budget estimates alone are not sufficient as final support for charges.
Bottom line: An institution can charge salary to a federal award based on an employee's full institutional salary — but only the proportionate share corresponding to the effort devoted to that award, and the total may never exceed the IBS rate. If your institution has questions about whether a particular salary arrangement (e.g., clinical compensation components, administrative supplements) is part of IBS, I'd recommend confirming with your sponsored programs office or legal counsel, as the definition of IBS can vary by institutional policy and some components may or may not be includable.</t>
  </si>
  <si>
    <t>Now let me search for the relevant regulation and fetch the text.Used ecfr integration, loaded toolsUsed ecfr integration, loaded toolsLoading toolsResultEEcfr get title versionsResultEEcfr get regulationResultDoneGreat — I have the full regulatory text. Here's a thorough answer grounded in the current regulation.
Salary Charges to Federal Awards: The IBS Rule
The short answer: Yes — but only up to the proportionate share of the employee's Institutional Base Salary (IBS). You cannot charge more than IBS, and in many cases, you cannot charge the full IBS unless the employee works 100% of their time on the award.
Here's the breakdown from 2 CFR § 200.430, as amended October 1, 2024:
The General Rule (§ 200.430(a))
Compensation for personal services is allowable to the extent it is:
Reasonable for the services rendered,
Consistent with the institution's written compensation policies applied uniformly to both federal and non-federal activities, and
Properly documented per the standards in § 200.430(g).
The IBS Cap for IHEs (§ 200.430(i)(2))
For Institutions of Higher Education, the regulation is explicit:
"In no event will charges to Federal awards, irrespective of the basis of computation, exceed the proportionate share of the IBS for that period."
IBS is defined as the annual compensation paid by the IHE for an individual's appointment — covering research, instruction, administration, or other activities — and excludes any income earned outside of IHE duties (e.g., consulting income from outside entities).
So if a faculty member's IBS is $120,000 and they spend 25% of their time on a federal award, the maximum allowable charge is $30,000 — regardless of any other income or supplemental pay they receive. Charging the full $120,000 would only be allowable if the employee devoted 100% of their IHE effort to the award.
Key Nuances
ScenarioRuleFaculty during the academic yearCapped at proportionate share of IBS (§ 200.430(i)(2))Faculty during summer/periods outside IBS periodRate must not exceed IBS rate (§ 200.430(i)(5)(i))Incidental activities / supplemental payAllowable above IBS only with prior written approval of the federal agency (§ 200.430(i)(1)(ii))Intra-IHE consulting paid above IBSOnly allowable if expressly authorized in the award or approved in writing (§ 200.430(i)(3))Non-faculty professional staffMay earn "extra service pay" per IHE written policy (§ 200.430(i)(8))Non-IHE employees (nonprofits, state/local)Must be reasonable and consistent with policies for similar work (§ 200.430(a)–(b))
Documentation Requirement (§ 200.430(g))
Salary charges must be supported by records that:
Accurately reflect work performed,
Reasonably reflect total activity — not exceeding 100% of compensated activities (i.e., total IBS for IHEs),
Support distribution among specific cost objectives when an employee works on multiple awards or activities.
Budget estimates alone are not sufficient as documentation; after-the-fact reviews are required.
Practical Takeaway
An institution cannot simply charge a lump sum equal to an employee's full salary to a federal award unless the employee's entire compensated effort is devoted to that award. The charge must always be proportionate to the actual effort on the award, capped at the IBS rate. Any arrangement that results in charges exceeding IBS — or that constitutes compensation above IBS without prior federal agency approval — is unallowable.
If your institution is dealing with edge cases (e.g., summer salary, consulting arrangements, or extra service pay), those require careful review against your institutional policies and, in some cases, prior written approval from the sponsoring agency. I'd recommend confirming specific scenarios with your sponsored programs or compliance office.</t>
  </si>
  <si>
    <t>E
Ecfr get title versions
Result
E
Ecfr get regulation
Result
Done
Great — I have the full regulatory text. Here's a thorough answer grounded in the current regulation.
Charging Salary to a Federal Award: The IBS Rule
Short answer: Yes, but only up to the employee's proportionate share of their Institutional Base Salary (IBS) — not beyond it (with very narrow exceptions). The full IBS is the ceiling, not a floor that can be exceeded.
The Governing Rule: 2 CFR § 200.430(i)(2) — Salary Basis
As of October 1, 2024, the regulation states:
Charges for work performed on Federal awards by faculty members during the academic year are allowable at the IBS rate. In no event will charges to Federal awards, irrespective of the basis of computation, exceed the proportionate share of the IBS for that period.
IBS is defined as: the annual compensation paid by an IHE for an individual's appointment, whether their time is spent on research, instruction, administration, or other activities. It excludes any income earned outside of duties performed for the IHE.
What This Means Practically
Scenario	Allowable?
Charging 25% effort at 25% of IBS	✅ Yes — this is the standard
Charging 100% effort at 100% of IBS	✅ Yes, if the person works 100% on the award
Charging more than the proportionate share of IBS	❌ No
Charging consulting income, outside earnings, or supplemental pay above IBS	❌ No — IBS explicitly excludes outside income
Key Nuances and Exceptions
1. The IBS cap applies across the board. Per § 200.430(i)(2), this principle applies to all faculty members at an institution. Without prior federal agency approval, charges may not exceed the proportionate share of IBS for the period worked.
2. Extra service pay / overload is allowable only under strict conditions. § 200.430(i)(4) permits "extra service pay" (compensation above IBS for work beyond IBS-covered duties) if the IHE has consistent written policies applied uniformly to all faculty (not just those on federal awards), a written definition of what constitutes IBS-covered work, and the supplemental amount is commensurate with the IBS rate. Even then, the total charges remain subject to documentation standards.
3. Summer/off-base-period work. § 200.430(i)(5) allows charges during periods outside the base salary period (e.g., summer for 9-month appointees), but the rate may not exceed the IBS rate. Teaching during off-periods follows the IHE's written policy.
4. Non-IHE entities (non-profits, state/local governments) follow the general reasonableness standard in § 200.430(a)–(b) rather than the IBS-specific rules, but the same principle applies: compensation must be reasonable and consistent with institutional policy applied uniformly to both federal and non-federal activities.
Documentation Requirement (§ 200.430(g))
Regardless of the rate, all salary charges must be supported by records that accurately reflect work performed and "reasonably reflect the total activity for which the employee is compensated by the recipient or subrecipient, not exceeding 100 percent of compensated activities (for IHEs, this is the IBS)."
Bottom Line
An institution may charge up to the employee's full IBS to a federal award if the employee is devoting 100% of their IBS-covered effort to the award — but the IBS itself is the hard ceiling. Pay earned outside the IHE relationship (consulting fees, outside income) is never chargeable, and charges above the proportionate IBS share require prior federal agency approval.
⚠️ This is a compliance summary based on 2 CFR § 200.430 (effective 2024-10-01). Agency-specific supplements (e.g., NIH salary cap under NOT-OD notices, or DOD award terms) may impose additional restrictions beyond the Uniform Guidance. Consult your sponsored programs or compliance office for institution-specific policy.</t>
  </si>
  <si>
    <t>Now let me look up the relevant Uniform Guidance regulations on prior approval for equipment purchases.Used ecfr integration, loaded toolsUsed ecfr integration, loaded toolsLoading toolsResultEEcfr get title versionsResultEEcfr get regulationResultEEcfr get regulationResultEEcfr get regulationResultDoneGreat — I now have everything needed to give you a thorough, regulation-grounded answer. Here's a summary of what the Uniform Guidance requires.
Prior Approval for Unbudgeted Equipment Purchases
The key regulations here are 2 CFR § 200.439 (equipment and capital expenditures) and 2 CFR § 200.308 (budget revisions), both as of their latest amendment date of October 1, 2024.
Does the PI need prior approval?
Almost certainly yes — and the answer depends on whether the equipment is special purpose or general purpose:
Per 2 CFR § 200.439(b):
General purpose equipment (e.g., computers, office furniture, lab benches) — prior written approval of the Federal agency or pass-through entity is always required when charged as a direct cost, regardless of dollar amount.
Special purpose equipment (equipment used only for research, medical, scientific, or other technical activities) — prior written approval is required when the unit cost is $10,000 or more. Items below $10,000 may not require approval under this section, though your award terms and conditions could set a lower threshold.
Capital improvements to existing equipment (materially increasing value or useful life) — always require prior written approval.
Since this equipment was not included in the approved budget, it also triggers budget revision requirements.
Steps to Complete Before the Purchase
Per 2 CFR § 200.308(f)(4), a recipient must seek prior written approval when "the inclusion of costs that require prior approval in accordance with subpart E" — which explicitly includes § 200.439 equipment costs — arises. Here's the practical workflow:
Classify the equipment. Determine whether it is general purpose or special purpose (see definitions at 2 CFR § 200.1). This affects what approval threshold applies.
Prepare a budget revision request. Under § 200.308(c), the request should use the same budget format used in the original application (or an agency-approved alternative). It should include:
Description of the equipment and its necessity for the project
Unit cost and total cost
Justification for why it wasn't in the original budget
How it will be funded (reallocation from another budget category, or additional funds)
Check the transfer threshold. Per § 200.308(i), if the Federal share exceeds the simplified acquisition threshold (~$250K) and the cumulative budget transfer exceeds 10% of the total approved budget, the agency may have restricted that transfer. Verify whether this purchase pushes you over that limit.
Submit to the sponsored programs office (OSP/SPA). Your institution's office needs to route the prior approval request to the Federal agency or pass-through entity on behalf of the PI. The PI should not contact the agency directly.
Await written approval before purchasing. The Federal agency has 30 days to respond under § 200.308(d). Do not purchase the equipment before written approval is received — costs incurred without required prior approval are at risk of disallowance.
Check award-specific terms. Your Notice of Award may contain additional requirements (e.g., NIH often has specific prior approval policies in the NIH Grants Policy Statement). Agency-specific rules can be stricter than the baseline Uniform Guidance requirements.
A Note on Research Awards
Under § 200.308(h), many prior approval requirements in § 200.308(g) are automatically waived for research awards — but equipment approvals under § 200.439 are not among those waived. The equipment approval requirement remains in effect regardless of award type.
Important caveat: I'm not a lawyer or grants compliance officer. Your institution's sponsored programs office is the right first stop — they'll know your specific award terms, any agency-specific policies (e.g., NIH, NSF, USDA), and your institution's own capitalization thresholds. The regulatory floor described above is the minimum; your award may impose stricter requirements.</t>
  </si>
  <si>
    <t>Now let me fetch the relevant regulatory text on prior approval for unbudgeted equipment purchases.Used ecfr integration, loaded toolsUsed ecfr integration, loaded toolsLoading toolsResultEEcfr get title versionsResultEEcfr get regulationResultEEcfr get regulationResultEEcfr get regulationResultDoneHere's a thorough breakdown of what the Uniform Guidance requires for your situation — grounded in the current regulatory text as of October 1, 2024.
Prior Approval for Unbudgeted Equipment Purchases
The Core Requirement
Per 2 CFR § 200.439 (Equipment and Other Capital Expenditures), the allowability rules depend on the type of equipment:
Equipment TypePrior Written Approval Required?General purpose equipment (e.g., computers, lab benches, office equipment)Always — prior written approval from the Federal agency or pass-through entity is required regardless of costSpecial purpose equipment (equipment used only for research, scientific, or technical activities)Required if unit cost is $10,000 or moreImprovements/modifications to existing equipment that materially increase value or useful lifeAlways
So for most plant sciences research equipment, you'll need prior approval either because it's special purpose ≥$10,000 or because it could be considered general purpose.
Budget Revision Requirement
Because the equipment was not included in the original approved budget, this also triggers 2 CFR § 200.308(f)(4) — which requires prior written approval whenever a recipient includes costs that require prior approval under Subpart E (and equipment costs do, per § 200.439). Additionally, § 200.308(f)(1) requires prior approval for any change in project scope, which a new unbudgeted equipment purchase could constitute depending on the circumstances.
Steps to Complete Before the Purchase
Check the award's terms and conditions first. Your sponsoring agency (e.g., NSF, NIH, USDA) may have additional or more specific requirements layered on top of the Uniform Guidance baseline. Agency-specific policies often govern the process and form of the request.
Determine equipment classification. Work with your PI to confirm whether the item is general purpose or special purpose equipment, and its unit cost. This determines which paragraph of § 200.439(b) applies.
Prepare a budget revision request. Per § 200.308(c), the request should use the same budget format as the original application (or an agency-approved alternative such as email or electronic system). The request should include:
Description and justification of the equipment
Unit cost and how it will be funded (reallocation of existing budget, or new funds?)
Explanation of why it's necessary to accomplish project objectives
If funds are being moved from another category and the cumulative transfer exceeds 10% of the total approved budget, that transfer itself requires prior approval per § 200.308(i)
Submit to your Sponsored Programs / Grants &amp; Contracts office. They will route the prior approval request to the Federal agency or pass-through entity on behalf of the PI.
Wait for written approval before incurring the cost. The Federal agency has 30 days to respond under § 200.308(d). Do not purchase the equipment until written approval is received — the cost could be disallowed.
One Practical Note
§ 200.308(h) provides that many prior approval requirements under § 200.308(g) are automatically waived for research awards. However, this waiver does not extend to the equipment prior approval requirement under § 200.439, nor to § 200.308(f)(1)–(10) items. Those still require explicit agency approval.
I'd recommend looping in your Sponsored Programs office as the first step — they'll know whether your specific agency has streamlined any of these requirements or has a preferred submission format. If you'd like, I can also look up any agency-specific regulations (NSF, NIH, USDA, etc.) for your particular award.</t>
  </si>
  <si>
    <t>Now let me look up the relevant regulations. I'll start with the prior approval and equipment sections of 2 CFR 200.Used ecfr integration, loaded toolsUsed ecfr integration, loaded toolsLoading toolsResultEEcfr get title versionsResultEEcfr get regulationResultEEcfr get regulationResultEEcfr get regulationResultDoneHere's a thorough breakdown of what the Uniform Guidance requires for this situation, grounded in the current regulatory text (as of 2024-10-01).
Prior Approval for Unbudgeted Equipment Purchases
The Short Answer
Before the PI purchases any equipment not in the approved budget, your institution must obtain prior written approval from the Federal agency (or pass-through entity, if applicable). This is a hard requirement under the Uniform Guidance — it's not discretionary.
The Regulatory Basis
Two sections of 2 CFR Part 200 are directly in play:
1. § 200.439 — Equipment and Other Capital Expenditures governs allowability. As of October 1, 2024, it states:
General purpose equipment (e.g., computers, lab furniture): allowable as a direct cost only with prior written approval of the Federal agency or pass-through entity — full stop, regardless of cost.
Special purpose equipment (equipment used only for research or scientific purposes): allowable as a direct cost provided that items with a unit cost of $10,000 or more have prior written approval. Items under $10,000 may not require prior approval, but see the note on budget revision below.
Capital improvements to existing equipment (materially increasing value or useful life): also require prior written approval.
Per 2 CFR § 200.1, "equipment" means tangible personal property with a useful life of more than one year and an acquisition cost of $10,000 or more. Items below $10,000 are typically treated as supplies.
2. § 200.308 — Revision of Budget and Program Plans is the procedural mechanism. Because this equipment was not in the approved budget, you are making a budget revision. Under § 200.308(f)(4), prior written approval is required when:
"The inclusion, unless waived by the Federal agency, of costs that require prior approval in accordance with subpart E as applicable."
Equipment costs requiring prior approval under § 200.439 fall squarely within this category. Additionally, under § 200.308(i), if the cumulative budget transfer involved exceeds 10% of the total approved budget (including cost share), the Federal agency may restrict transfers — another reason to act proactively.
3. § 200.407 — Prior Written Approval is the master list. It explicitly lists § 200.439 (equipment) as one of the cost categories where prior approval is required for allowability.
Steps to Take Before the Purchase
Confirm the equipment type. Determine whether it's general purpose or special purpose, and its unit acquisition cost. This affects which specific rule applies.
Do not purchase before approval is in hand. Costs incurred before prior approval is received are at risk of disallowance.
Prepare a prior approval/budget revision request using the same budget format used in the original application (or the agency's approved alternative format per § 200.308(c)). The request should include:
Description and justification for the equipment
Cost and source of funds (which budget category it would come from)
Scientific/programmatic justification for why it's necessary for the project
Whether funds will be transferred from another budget category, and if so, the cumulative transfer amount relative to the total budget
Submit through your Sponsored Programs/Research Administration office. Institutions typically route these requests through OSP/SPA to the Grants Management Specialist or Contracting Officer at the Federal agency.
Await written approval. The agency has 30 days to respond under § 200.308(d), and must notify you in writing if a longer review is needed.
Check the award terms and conditions. Some agencies (notably NIH for research awards) have automatic waivers of certain prior approval requirements under § 200.308(h). However, equipment requiring prior approval under § 200.439 is generally not among the automatically waived items — verify in the Notice of Award or agency-specific guidance (e.g., the NIH Grants Policy Statement).
A Practical Note
If the award is from NIH or another PHS agency, check the Notice of Award and the NIH Grants Policy Statement specifically — NIH sometimes delegates prior approval authority to institutions or provides expanded authorities that go beyond the baseline Uniform Guidance. Your sponsored programs office should know which expanded authorities apply to this award.
I'm not a lawyer, and institutional policy may be stricter than the federal floor described here. Always confirm the specific steps with your Office of Sponsored Programs before proceeding.</t>
  </si>
  <si>
    <t>Now let me look up the relevant regulations on prior approval for equipment purchases under the Uniform Guidance.Used ecfr integration, loaded toolsUsed ecfr integration, loaded toolsLoading toolsResultEEcfr get title versionsResultEEcfr get regulationResultEEcfr get regulationResultEEcfr get regulationResultDoneGreat — I now have everything needed to give a thorough, regulation-grounded answer. Here's a summary of what the rules require:
Prior Approval for Unbudgeted Equipment Purchases
This is governed by two key provisions of the Uniform Guidance (2 CFR Part 200), as of the October 1, 2024 amendment.
Step 1: Determine what type of equipment it is
Per 2 CFR § 200.439(b), the prior approval requirement depends on the equipment category:
General purpose equipment (e.g., computers, office furniture) — prior written approval from the Federal agency or pass-through entity is always required to charge as a direct cost, regardless of price.
Special purpose equipment (i.e., equipment used only for research, medical, scientific, or other technical activities) — prior written approval is required if the unit cost is $10,000 or more. Items under $10,000 do not require prior approval under the Uniform Guidance (though check your award terms).
Capital improvements to land, buildings, or equipment that materially increase their value or useful life — always require prior written approval.
Step 2: Determine whether a budget revision is also needed
Per 2 CFR § 200.308(f)(4), a recipient must request prior written approval from the Federal agency when "the inclusion of costs that require prior approval in accordance with subpart E" is needed. Since equipment falls squarely under subpart E (§ 200.439), adding unbudgeted equipment typically also requires a budget revision request.
Additionally, if the purchase is large enough that the cumulative budget transfer from other categories exceeds 10% of the total approved budget (and the Federal share exceeds the simplified acquisition threshold, currently $250,000), the agency may restrict that transfer and require approval under § 200.308(i).
Practical Steps to Complete Before Purchase
Confirm the equipment type and unit cost — work with the PI to determine whether it's general purpose or special purpose, and get the quoted price.
Check the award's terms and conditions — some agencies (notably NIH, NSF, and DOE) include award-specific prior approval requirements or waivers. Always read the Notice of Award carefully; agency policies can be stricter than the baseline Uniform Guidance.
Submit a prior approval/budget revision request to the Federal agency (or pass-through entity, if it's a subaward). Per § 200.308(c), the request should use the same budget format as the original application, or whatever format the agency has approved (email or electronic systems are often acceptable). Include:
A description and justification for the equipment
The cost and proposed budget line
An explanation of how it supports the approved project objectives
Wait for written approval before obligating funds. Under § 200.308(d), the agency should respond within 30 days. Do not purchase the equipment until written approval is received — costs incurred without required prior approval risk disallowance.
Document everything — retain the approval correspondence with the grant file.
A note on research awards: Under § 200.308(h), several administrative prior approval requirements are automatically waived for research awards. However, equipment costs under § 200.439 are explicitly carved out in § 200.407 as requiring prior approval for allowability — this waiver does not cover equipment purchases. Prior approval is still required.
Your institution's sponsored programs/grants office should also be looped in early, as many institutions have internal routing requirements before submitting prior approval requests to the agency. Let me know if you'd like help with the specific agency (e.g., NSF, NIH, USDA) — their supplemental requirements can vary.</t>
  </si>
  <si>
    <t>Now I'll look up the relevant regulations. Equipment purchases and prior approvals are governed by 2 CFR 200 Uniform Guidance. Let me fetch the key sections.Used ecfr integration, loaded toolsUsed ecfr integration, loaded toolsLoading toolsResultEEcfr get title versionsResultEEcfr get regulationResultEEcfr get regulationResultEEcfr get regulationResultDoneGreat — I now have everything needed to give a thorough, regulation-grounded answer. Here's a breakdown of what's required:
Prior Approval for Unbudgeted Equipment Purchases
This situation is governed by two intersecting provisions of the Uniform Guidance (2 CFR Part 200), both as of the October 1, 2024 amendment.
Step 1: Determine Whether Prior Approval Is Required
Per 2 CFR § 200.439, the rules depend on what type of equipment is being purchased:
Special purpose equipment (used primarily for research, scientific, or technical purposes — which is typical in Plant Sciences): allowable as a direct cost, but items with a unit cost of $10,000 or more require prior written approval from the Federal agency or pass-through entity.
General purpose equipment (e.g., office equipment, computers not primarily for research): allowable as a direct cost only with prior written approval, regardless of cost.
Capital improvements to existing equipment that materially increase value or useful life: also require prior written approval.
So practically speaking, for most research equipment in Plant Sciences, if the unit cost is $10,000 or more, prior approval is required before purchase.
Step 2: Submit a Budget Revision Request
Since this equipment was not in the originally approved budget, it also triggers 2 CFR § 200.308(f)(4): a recipient must request prior written approval when costs are added that themselves require prior approval under Subpart E (which includes § 200.439). This means you'll need to submit a formal budget revision request to the Federal agency (or pass-through entity if it's a subaward).
Key procedural requirements under § 200.308:
The request must use the same budget format used in the original application, unless the agency has approved an alternative (such as email or an electronic grants portal).
The Federal agency should respond within 30 calendar days of receipt. If more time is needed, they must inform you in writing when to expect a decision.
Note that for research awards, many prior approval requirements under § 200.308(g) are automatically waived — but the equipment-specific requirement under § 200.439 is not among those waived. It is listed separately in § 200.407(g) as a cost requiring prior approval for allowability.
Practical Steps to Take
Confirm the equipment type and unit cost — determine whether it's special or general purpose, and whether the unit cost meets or exceeds $10,000.
Contact your Sponsored Programs / Grants &amp; Contracts Office — they will route the request and know the agency-specific format and portal (e.g., NIH's prior approval requests go through the eRA Commons; NSF uses Research.gov).
Prepare a written justification explaining why the equipment is necessary, how it supports the approved scope of work, and confirming it was not budgeted originally.
Submit the budget revision using the required format. If funds are being reallocated from another budget category to cover the equipment, note whether that reallocation exceeds 10% of the total budget — that threshold can independently trigger the need for agency approval under § 200.308(i).
Wait for written approval before purchasing. This is critical — purchasing before receiving written approval risks disallowance of the cost.
Important Caveat
Agency-specific terms and conditions can be stricter than the baseline Uniform Guidance. NIH, NSF, USDA/NIFA, and other sponsors often have their own policies layered on top. Your sponsored programs office will know whether your specific award has additional restrictions. I'd recommend they confirm requirements directly with the program officer if there's any ambiguity.</t>
  </si>
  <si>
    <t>Now let me search for the relevant regulations on prior approval for equipment purchases not in the original budget.Used ecfr integration, loaded toolsUsed ecfr integration, loaded toolsLoading toolsResultEEcfr get title versionsResultEEcfr get regulationResultEEcfr get regulationResultEEcfr get regulationResultDoneGreat — I now have the three core regulations needed to give a thorough answer. Here's a breakdown of what the Uniform Guidance requires, grounded in the current regulatory text.
Prior Approval for Unbudgeted Equipment Purchases
This situation is governed by three interconnected sections of the Uniform Guidance (2 CFR Part 200), all as of the October 1, 2024 amendment.
Step 1: Determine What Type of Equipment It Is
Per 2 CFR § 200.439(b), the prior approval requirement depends on the equipment category:
General purpose equipment (e.g., computers, printers, lab benches): Prior written approval from the Federal agency or pass-through entity is always required as a direct cost, regardless of price.
Special purpose equipment (equipment used only for research, medical, scientific, or other technical activities): Prior written approval is required when the unit cost is $10,000 or more. Below that threshold, no prior approval is needed under the Uniform Guidance (though check your award terms).
Capital improvements to existing equipment that materially increase its value or useful life: Prior written approval is always required.
The definitions of "general purpose" vs. "special purpose" equipment are in § 200.1 — worth checking with your sponsored programs office if there's any ambiguity about the PI's item.
Step 2: Request a Budget Revision
Because the equipment wasn't in the original approved budget, adding it also requires a budget revision under 2 CFR § 200.308(f)(4), which mandates prior written approval for "the inclusion of costs that require prior approval in accordance with subpart E." Equipment under § 200.439 is explicitly listed as such a cost in § 200.407.
The budget revision request must use the same format as the original application budget, unless the agency has authorized an alternative (e.g., an email or electronic system per § 200.308(c)).
Step 3: Watch the 10% Threshold
Even if the equipment were somehow not subject to the § 200.439 prior approval requirement, § 200.308(i) gives the Federal agency the option to restrict transfers among direct cost categories when the Federal share exceeds the Simplified Acquisition Threshold ($250,000) and the cumulative budget transfer exceeds or is expected to exceed 10% of the total approved budget. If the equipment purchase triggers that threshold, a separate prior approval for the transfer would be required.
Practical Steps for Your Office
Classify the equipment as general purpose or special purpose (see § 200.1).
Check the award terms and conditions — agencies like NIH, NSF, and USDA often impose stricter or different prior approval rules than the baseline Uniform Guidance.
Prepare a prior approval/budget revision request to the Federal agency (or pass-through entity if this is a subaward), using the original budget format or agency-approved alternative.
Do not purchase before written approval is received. Costs incurred before prior approval is granted risk being disallowed.
Document the justification for why the equipment is necessary and allocable to the project.
Note: If this award is from NIH or another Public Health Service agency, check the NIH Grants Policy Statement for any agency-specific rules layered on top of the Uniform Guidance — the CFR is the floor, not always the ceiling. If you're uncertain whether a cost will be allowable, § 200.407 explicitly notes that the recipient may seek prior written approval proactively to avoid later disallowance disputes.</t>
  </si>
  <si>
    <t>Now let me fetch the relevant regulatory text on prior approvals and equipment purchases under the Uniform Guidance.Used ecfr integration, loaded toolsUsed ecfr integration, loaded toolsLoading toolsResultEEcfr get title versionsResultEEcfr get regulationResultEEcfr get regulationResultEEcfr get regulationResultDoneHere's a thorough breakdown of what the Uniform Guidance requires for this situation, based on the current regulatory text (as of October 1, 2024).
Prior Approval Requirements for Unbudgeted Equipment
This situation involves two overlapping requirements under 2 CFR Part 200: one for the equipment itself, and one for the budget revision.
1. Equipment Prior Approval — 2 CFR § 200.439
The Uniform Guidance distinguishes between two types of equipment, and the prior approval trigger differs:
Special Purpose Equipment (equipment designed specifically for research, medical, scientific, or similar purposes — which typically describes plant sciences lab equipment):
Items with a unit cost of $10,000 or more require prior written approval from the Federal agency or pass-through entity (§ 200.439(b)(2)).
Items under $10,000 do not require prior approval under this section, though your institution may have its own threshold.
General Purpose Equipment (standard office equipment, computers, vehicles, etc.):
Always requires prior written approval as a direct cost, regardless of cost (§ 200.439(b)(1)).
If the PI's equipment is a specialized instrument (e.g., a microscope, growth chamber, centrifuge), it's almost certainly special purpose equipment — and if it costs $10,000 or more, prior approval is required before purchasing.
2. Budget Revision Prior Approval — 2 CFR § 200.308
Because the equipment was not included in the originally approved budget, adding it constitutes a budget revision. Per § 200.308(f)(4), prior written approval is required when:
"The inclusion…of costs that require prior approval in accordance with subpart E" is needed.
Since equipment at or above the threshold requires prior approval under § 200.439 (which is in Subpart E), this cross-reference means both provisions are triggered together.
Additionally, if the award's Federal share exceeds the simplified acquisition threshold (~$250,000) and the cumulative budget transfers involved exceed 10% of the total approved budget, that also independently triggers prior approval under § 200.308(i).
Steps to Complete Before the Purchase
Determine the equipment type and unit cost. Confirm whether it's special purpose or general purpose, and get a firm quote or price estimate.
Check the award's terms and conditions. Some agencies (especially NIH and NSF) have award-specific provisions that may be more restrictive than the base Uniform Guidance. Review the Notice of Award.
Submit a prior approval request to your Sponsored Programs Office (SPO). Your SPO will route the request to the Federal agency (or pass-through entity if applicable). Per § 200.308(c), use the same budget format as the original application unless the agency has approved an alternative.
Include a written justification. Explain why the equipment is necessary to accomplish the approved scope of work, why it wasn't in the original budget, and confirm it won't change the project's scope or objectives.
Wait for written approval before obligating funds. The Federal agency has 30 days to respond (§ 200.308(d)). Do not place the purchase order until written approval is received — incurring the cost before approval can result in disallowance.
If the funds need to come from another budget category, confirm whether the transfer would exceed 10% of the total budget, which may require a separate approval conversation.
A Note on Research Awards
For grants that support research, § 200.308(h) automatically waives some prior approval requirements — but not the equipment approval under § 200.439 or the budget revision requirements in § 200.308(f). Those remain required even for research awards.
One practical note: your institution's policies may be stricter than the federal floor, so always loop in your SPO early. They'll know whether your specific agency (e.g., USDA NIFA, NSF, NIH) has any additional guidance or approved electronic submission processes for these requests.</t>
  </si>
  <si>
    <t>Now let me look up the relevant Uniform Guidance regulations on prior approvals and equipment.Used ecfr integration, loaded toolsUsed ecfr integration, loaded toolsLoading toolsResultEEcfr get title versionsResultEEcfr get regulationResultEEcfr get regulationResultEEcfr get regulationResultDoneGreat — I now have all the regulatory text needed to give a thorough answer. Here's a complete breakdown based on current Uniform Guidance (as of October 1, 2024):
Prior Approval for Unbudgeted Equipment: What You Need to Know
The Short Answer
Under federal regulations, purchasing equipment that was not included in the original approved budget requires prior written approval from the Federal agency (or pass-through entity, if applicable) before you incur the cost. This is a hard requirement — not just a best practice.
Regulatory Basis
Per 2 CFR § 200.439 (Equipment and Other Capital Expenditures), as of October 1, 2024:
General purpose equipment (e.g., computers, lab instruments used across multiple projects) — allowable as a direct cost only with prior written approval of the Federal agency or pass-through entity.
Special purpose equipment (equipment used specifically for research, scientific, or technical activities) — allowable as a direct cost, and items with a unit cost of $10,000 or more require prior written approval.
Equipment that improves land or buildings and materially increases their value or useful life also requires prior written approval.
So depending on whether the PI's equipment is general-purpose or special-purpose, prior approval may be required based on either the type of equipment or its unit cost.
Per 2 CFR § 200.308(f)(4) (Revision of Budget and Program Plans), prior written approval is also required when:
the inclusion of costs that require prior approval in accordance with subpart E are added.
Since equipment under § 200.439 is listed in subpart E, adding it to the budget requires going through the § 200.308 budget revision process.
Per 2 CFR § 200.407 (Prior Written Approval), equipment and other capital expenditures (§ 200.439) are explicitly listed as a cost category where prior approval is specifically required for allowability — meaning skipping this step risks disallowance of the cost entirely.
Steps to Complete Before the Purchase
Classify the equipment. Determine whether it is general purpose or special purpose (see definitions at 2 CFR § 200.1). This affects the approval threshold.
Check award terms and conditions. Your specific Federal award may have additional or stricter requirements beyond the baseline Uniform Guidance. Agency-specific policies (e.g., NIH Grants Policy Statement, NSF PAPPG) can impose additional requirements not in the CFR.
Submit a budget revision request to your Sponsored Programs / Grants office. Under § 200.308(c), the request should use the same budget format as the original application (unless the agency has approved an alternative). Include:
A description of the equipment and its necessity to the project
The estimated cost
Justification for why it wasn't in the original budget
How it will be funded (reallocation from another budget category, or additional funds)
Your institution submits to the Federal agency or pass-through entity. The agency has 30 days to respond; if more time is needed, they must notify you in writing (§ 200.308(d)).
Wait for written approval before purchasing. Do not obligate funds for the equipment until approval is received. Costs incurred before approval may be disallowed.
Note the 10% transfer threshold. If reallocating funds from another budget category to cover this equipment, and the cumulative transfer would exceed 10% of the total approved budget and the Federal share exceeds the simplified acquisition threshold (~$250,000), prior approval for the transfer itself is also required under § 200.308(i).
Important Caveats
Research award flexibility: § 200.308(h) does provide a general waiver of some prior approval requirements for research awards, but equipment under § 200.439 is in the list of costs where prior approval is specifically required for allowability (§ 200.407), so the research waiver does not eliminate this requirement.
Agency-specific rules: NIH, NSF, DOE, and others may have stricter or different procedures. Always confirm with your sponsored programs office and review the agency's terms and conditions.
This is regulatory guidance, not legal advice. Your institution's sponsored programs or compliance office should be your first stop to confirm the specific requirements for this award.</t>
  </si>
  <si>
    <t xml:space="preserve">E
Ecfr search
Result
E
Ecfr search
Result
E
Ecfr get regulation
Result
E
Ecfr get regulation
Result
E
Ecfr get regulation
Result
Done
Great — I have everything needed to give you a thorough answer. Here's what the Uniform Guidance (2 CFR Part 200) requires for this situation.
Prior Approval for Unbudgeted Equipment
Under the Uniform Guidance, purchasing equipment not included in the original approved budget triggers two overlapping prior approval requirements: one for the equipment itself, and one for the budget revision.
1. Prior Approval for Equipment Costs — 2 CFR § 200.439
The allowability rules depend on the type of equipment:
Special purpose equipment (research-specific instruments, lab equipment, etc.) with a unit cost of $10,000 or more requires prior written approval from the Federal agency or pass-through entity before purchase.
General purpose equipment (computers, office furniture, vehicles, etc.) always requires prior written approval as a direct cost, regardless of unit cost.
If the equipment falls under the capitalization threshold (typically under $5,000, though institutions set their own thresholds), it's likely treated as a supply rather than equipment, which does not require this specific prior approval — though the budget revision requirement below may still apply.
2. Prior Approval for Budget Revision — 2 CFR § 200.308
Because the equipment was not in the original approved budget, adding it constitutes a budget revision. Prior written approval is required from the Federal agency or pass-through entity whenever costs that themselves require prior approval (per § 200.407 and § 200.439) are being included. This is listed explicitly in § 200.308(f)(4).
Additionally, if funding for the equipment would be transferred from another budget category and the cumulative transfer exceeds 10% of the total approved budget (Federal + cost share), that transfer also requires prior approval under § 200.308(i).
Steps to Complete Before the Purchase
Here is the practical sequence:
Step 1 — Confirm the equipment type and cost. Determine whether the item is special purpose or general purpose and get the unit acquisition cost. This tells you which provision of § 200.439 applies.
Step 2 — Check the award terms and conditions. Many agencies (especially NIH and NSF) include expanded or modified prior approval requirements in their Notice of Award. Some agencies have pre-authorized certain equipment purchases; others require agency-specific forms. Always review the award terms first.
Step 3 — Identify the source of funds. Determine which budget category the funds will come from. If they'll be transferred from another category, calculate whether the cumulative transfers will exceed 10% of the total approved budget — if so, you'll need to flag that in your request.
Step 4 — Prepare the prior approval request. Per § 200.308(c), the request should use the same budget format as the original application (or the agency-approved alternative). It should include:
A description and justification for the equipment
The unit cost and quantity
Which budget category will fund it and how
Any impact on project scope (§ 200.308(f)(1) requires separate prior approval if scope changes)
Step 5 — Submit through your sponsored programs office (OSP/SPA). At most institutions, prior approval requests to the Federal agency must route through the authorized organizational representative (AOR) — not the PI directly. Confirm your institution's internal process.
Step 6 — Wait for written approval before obligating funds. The agency has 30 days to respond (§ 200.308(d)), and the costs are not allowable until written approval is received. Do not place a purchase order or make any commitment before that approval is in hand.
One Note on Research Awards
§ 200.308(h) provides that some prior approval requirements under § 200.308(g) are automatically waived for research awards. However, this waiver applies to items like no-cost extensions and carryforward of unobligated balances — not to equipment, which is separately governed by § 200.439 and § 200.308(f)(4). Equipment prior approval is not waived for research awards.
Please note I'm not a lawyer or compliance officer, and this is a summary of the federal regulatory floor. Your institution's OSP/SPA, and the specific award terms, may impose additional or different requirements. I'd recommend looping them in early — they will know your agency's specific submission process and any pre-authorizations that might be in place.
</t>
  </si>
  <si>
    <t>E
Ecfr get title versions
Result
E
Ecfr get regulation
Result
E
Ecfr get regulation
Result
E
Ecfr get regulation
Result
Done
Here's a clear breakdown of what's required before the PI purchases unbudgeted equipment, grounded in the current Uniform Guidance (2 CFR Part 200, as of October 1, 2024).
Prior Approval for Unbudgeted Equipment Purchases
Two overlapping regulatory requirements are triggered here: one tied to the type of equipment and one tied to the budget revision itself.
1. Equipment-Specific Prior Approval — 2 CFR § 200.439
Per § 200.439(b), the allowability rules depend on the equipment type:
General purpose equipment (e.g., standard lab instruments, computers): Prior written approval from the Federal agency or pass-through entity is always required to charge this as a direct cost, regardless of price.
Special purpose equipment (equipment used only for research, medical, scientific, or similar purposes): Allowable as a direct cost, but prior written approval is required if the unit cost is $10,000 or more.
Capital improvements to existing equipment that materially increase its value or useful life: Prior written approval is always required.
If you're unsure whether the equipment is "general purpose" or "special purpose," check 2 CFR § 200.1 definitions — this distinction matters for triggering the approval threshold.
2. Budget Revision Prior Approval — 2 CFR § 200.308
Because the equipment was not included in the original approved budget, this also constitutes a budget revision requiring prior approval. Specifically, § 200.308(f)(4) requires prior written approval when there is "the inclusion, unless waived by the Federal agency, of costs that require prior approval in accordance with subpart E" — which equipment expenditures under § 200.439 explicitly are.
Additionally, if funding the equipment would require transferring more than 10% of the total approved budget between direct cost categories (and the Federal share exceeds the simplified acquisition threshold), that transfer itself requires prior approval under § 200.308(i).
Steps to Complete Before the Purchase
Identify the equipment type and unit cost. Determine whether it's general or special purpose (per § 200.1 definitions) and confirm the unit cost.
Review the award's terms and conditions. Some agencies (e.g., NIH) have additional requirements or have pre-waived certain approvals. Check the Notice of Award and any agency-specific terms.
Submit a prior approval request to the sponsoring agency (or pass-through entity if this is a subaward). Per § 200.308(c), this should use the same budget format as the original application unless the agency has approved an alternative (email, electronic system, etc.).
Include a justification for the purchase and how it supports the approved project scope.
Include the revised budget showing where the funds will come from.
Wait for written approval. The agency has 30 days to respond (§ 200.308(d)); if it needs more time, it must notify you in writing.
Route internally first. In practice, most institutions require Sponsored Programs/OSP sign-off on any prior approval request before it goes to the agency. The PI should not contact the agency directly without coordinating with your office.
Do not obligate funds until written approval is received. Purchasing before approval is obtained risks disallowance of the cost.
One important note: If this award specifically supports research, § 200.308(h) does automatically waive certain prior approval requirements for budget flexibility — but it does not waive the equipment-specific approval requirements under § 200.439. Those remain in force regardless of whether it's a research award.
If you'd like, I can also look up whether there are any agency-specific overlays (e.g., NIH or NSF terms) that apply to this particular award.</t>
  </si>
  <si>
    <t>Yes, less nformation on non-IHE</t>
  </si>
  <si>
    <t>Yes, extra information on extra service pay but no mention of non IHE or NIH</t>
  </si>
  <si>
    <t>Ecfr get title versions
Result
Ecfr get regulation
Result
Done
Great — I have the full, current regulatory text. Here's the answer:
Charging Salary to a Federal Award: The IBS Rule
The short answer is: Yes, but only up to the employee's proportionate share of their Institutional Base Salary (IBS) — you cannot charge more than IBS.
The governing regulation is 2 CFR § 200.430 — Compensation—Personal Services — as amended October 1, 2024.
The Core Rule (§ 200.430(i)(2))
For Institutions of Higher Education (IHEs), the regulation is explicit:
Charges for work performed on Federal awards by faculty members during the academic year are allowable at the institutional base salary (IBS) rate. In no event will charges to Federal awards, irrespective of the basis of computation, exceed the proportionate share of the IBS for that period.
IBS is defined as the annual compensation paid by an IHE for an individual's appointment, whether that time is spent on research, instruction, administration, or other activities. Critically, IBS excludes any income an individual earns outside of duties performed for the IHE (e.g., consulting fees, outside income).
So if a faculty member earns $120,000 IBS and devotes 25% of their effort to a federal award, the maximum salary charge to the award is $30,000 — regardless of any outside income.
Key Nuances to Be Aware Of
1. "Proportionate share" matters — you can't charge the full IBS unless the employee works 100% on the award. The charge must reflect actual effort, properly documented per § 200.430(g).
2. Extra service pay / overload is allowable only under strict conditions (§ 200.430(i)(4)), including that the IHE has consistent written policies applying to all faculty, not just those on federal awards — and the total charges including extra service pay still must comply with the documentation standards.
3. Summer salary (periods outside the academic year base period) is capped at a rate not more than the IBS rate (§ 200.430(i)(5)(i)).
4. For non-IHE recipients (e.g., nonprofits, state/local governments), the general rule under § 200.430(a)–(b) is that compensation is allowable to the extent it is reasonable and consistent with the institution's written policies applied uniformly to both federal and non-federal activities.
5. NIH cap. NIH-funded awards have an additional statutory cap on salary (the Executive Level II pay rate). This is separate from, and may be more restrictive than, the IBS rule.
Bottom Line
An institution can charge salary based on an employee's full institutional salary rate (IBS), but only the proportionate share of IBS that reflects actual effort on the award. Charges may never exceed the IBS rate — outside income and extra-institutional earnings are excluded from the base, and overloading salary onto awards beyond IBS is not permitted without specific prior approval and policy conditions being met.
⚠️ Note: I'm not a legal advisor. For institution-specific questions — especially around IBS calculations, effort reporting systems, or NIH salary cap compliance — consult your sponsored programs office or institutional counsel.</t>
  </si>
  <si>
    <t xml:space="preserve">It Depends.
</t>
  </si>
  <si>
    <t>Yes, Did not have  NIH salary cap</t>
  </si>
  <si>
    <t>Yes. Get regulation timed out on first try. Did not include NIH</t>
  </si>
  <si>
    <t>Yes, talked about institutional policy and effort reporting. Did not talk about nonIHE or summer policy</t>
  </si>
  <si>
    <t>yes, does not say what an IHE is.Missed: academic year, IHE vs Non-IHE, extra service pay</t>
  </si>
  <si>
    <t>yes, Missed: academic year, IHE vs Non-IHE, extra service pay. No table and no note to reach out to OSPA</t>
  </si>
  <si>
    <t>Yes, IHE vs Non-IHE not mentioned. Has everything:
IBS, academic year, NIH salary cap, proportion based on effort, ceiling, 200.430, extra service pay</t>
  </si>
  <si>
    <t xml:space="preserve">Yes, focus on documentation but NIH not mentioned and non-IHE not mentioned. </t>
  </si>
  <si>
    <t>Yes, Has everything:
IBS, academic year, NIH salary cap, proportion based on effort, ceiling, 200.430, IHE vs Non-IHE mentioned, extra service pay</t>
  </si>
  <si>
    <t>Yes. Missed: IHE vs Non-IHE mentioned, extra service pay</t>
  </si>
  <si>
    <t>Yes. There are no web citations. Missed: IHE vs Non-IHE, extra service pay</t>
  </si>
  <si>
    <t>Yes, Has everything:
IBS, academic year, NIH salary cap, proportion based on effort, ceiling, 200.430, IHE vs Non-IHE , extra service pay</t>
  </si>
  <si>
    <t>Yes. There are no web citations. Missed: IHE vs Non-IHE , extra service pay, academic year</t>
  </si>
  <si>
    <t>Now let me search for the relevant regulation on compensation/salary charges to federal awards.Failed to fetch: https://www.ecfr.gov/api/search/v1/results?query=compensation+salary+federal+awards+IBS&amp;per_page=5&amp;page=1Failed to fetch: https://www.ecfr.gov/api/search/v1/results?query=compensation+salary+federal+awards+IBS&amp;per_page=5&amp;page=1I'll look this up directly from the eCFR — the relevant section is 2 CFR § 200.430 on compensation for personal services. Let me fetch the current regulatory text.Searched the webSearched the webGreat — I have the authoritative regulatory text from 2 CFR § 200.430. Here is a thorough answer:
Charging Salary to a Federal Award: The IBS Rule
Short answer: No — salary charges may not exceed the employee's proportionate share of their Institutional Base Salary (IBS). You cannot charge 100% of someone's salary to a federal award unless they are working 100% of their compensated time on that award.
What the Regulation Says
Per 2 CFR § 200.430(i)(2) (Uniform Guidance), which governs Institutions of Higher Education (IHEs):
Charges for work performed on Federal awards by faculty members during the academic year are allowable at the IBS rate. In no event will charges to Federal awards, irrespective of the basis of computation, exceed the proportionate share of the IBS for that period. This principle applies to all members of the faculty at an institution. eCFR
What "IBS" Means
IBS is the annual compensation paid by an IHE for an individual's appointment, whether that individual's time is spent on research, instruction, administration, or other activities. IBS excludes any income an individual earns outside of duties performed for the IHE. eCFR
So IBS is the employee's total institutional salary — it is the ceiling, not a floor, for federal award charges.
The Core Rule in Plain Language
ScenarioAllowable?Employee works 25% effort on award → charge 25% of IBS✅ YesEmployee works 100% effort on award → charge 100% of IBS✅ Yes (if truly 100% effort)Charge 100% of IBS but employee only works 50% on award❌ No — exceeds proportionate shareCharge more than 100% of IBS to any combination of awards❌ Never allowed
Records must reasonably reflect the total activity for which the employee is compensated by the recipient or subrecipient, not exceeding 100 percent of compensated activities (for IHEs, this is the IBS). eCFR
What About Extra Service / Overload Pay?
There is a narrow exception for extra service pay (payments above and beyond IBS for work outside the scope of the normal appointment), but it is tightly controlled. Extra service pay typically represents overload compensation, subject to institutional compensation policies for services above and beyond IBS. It is allowable only if the IHE establishes consistent written policies applying uniformly to all faculty, a consistent written definition of work covered by IBS, and the supplementation amount is commensurate with the IBS pay rate and additional work performed. eCFR
Prior Approval Exception
Unless there is prior approval by the Federal agency, charges of a faculty member's salary to a Federal award may not exceed the proportionate share of the IBS for the period during which the faculty member worked on the Federal award. eCFR
Some agencies (notably NIH) have additional salary caps (e.g., the NIH Senior/Key Personnel salary cap based on Executive Level pay rates) that further limit what can be charged, regardless of IBS — always check the terms of the specific award.
Key Takeaway for Administrators
The IBS is both the rate basis and the maximum cap. An institution may charge salary to a federal award only in proportion to the effort actually devoted to that award, and never more in total across all sources than the employee's full IBS. Any arrangement that charges the federal award for more than the employee's actual proportionate effort — or that results in the employee being "paid twice" for the same work — is unallowable under 2 CFR § 200.430.
⚠️ This is a general regulatory summary. Specific agency terms and conditions, institutional policies, and any applicable salary caps (such as NIH's) may impose additional restrictions. Consult your sponsored programs office or legal counsel for institution-specific guidance.</t>
  </si>
  <si>
    <t>Says No. Missed: IHE vs Non-IHE mentioned</t>
  </si>
  <si>
    <t>Ecfr search
Ecfr search
Ecfr get title versions
Ecfr get regulation
Ecfr get regulation
Ecfr get title versions
Ecfr get regulation
This is a great question that comes up frequently in grants management. Here's what the Uniform Guidance (2 CFR Part 200) says happens when work isn't complete and no-cost extension options are exhausted.
When a Project Can't Be Completed and a No-Cost Extension Is Denied
First, understand your NCE options
Per 2 CFR § 200.308(f)(10) and (g)(2) (as of October 1, 2024), there are two pathways for extending time:
One-time self-initiated extension (§ 200.308(g)(2)): Most recipients can unilaterally extend the period of performance by up to 12 months — without prior agency approval — as long as the award terms don't prohibit it, no additional funds are needed, and the scope isn't changing. You must notify the agency in writing at least 10 calendar days before the end date. Notably, this waiver is automatically available for research awards under § 200.308(h).
Additional NCEs (§ 200.308(f)(10)): Further extensions beyond the one-time extension require prior written approval from the Federal agency. The agency may approve multiple NCEs if not prohibited by statute or regulation. Requests should be submitted at least 10 calendar days before the period ends.
If an NCE is denied and the project ends incomplete
The award enters closeout under 2 CFR § 200.344, which requires:
Reports: All final financial, performance, and other required reports must be submitted within 120 calendar days after the period of performance ends (90 days for subrecipients).
Liquidation of obligations: All financial obligations must be liquidated within that same 120-day window.
Unobligated funds: Any unspent federal funds not authorized to be retained must be promptly refunded to the agency (§ 200.344(e)).
Property: Federal property must be accounted for per §§ 200.310–200.316.
Agency actions: Per § 200.344(a), when a recipient fails to complete required work, the agency must still "proceed with closeout based on the information available" — the award closes regardless.
Consequences of non-completion
If work objectives weren't met, the agency has several tools under 2 CFR § 200.339 (Remedies for Noncompliance):
Disallow costs associated with unperformed work
Demand repayment of federal funds spent on incomplete deliverables
Withhold future funding for the project or program
Report material failure to comply in SAM.gov (§ 200.344(i)) — this is a significant reputational consequence that can affect future awards
In serious cases: suspend or terminate the award, or initiate debarment/suspension proceedings
Practical takeaways
The denial of an NCE doesn't automatically trigger penalties — it depends on why the project is incomplete. If the situation involves circumstances outside the recipient's control, it's worth documenting those thoroughly and communicating proactively with the program officer. Some agencies have discretion to negotiate deliverables, accept partial completion, or structure future awards to address gaps.
That said, SAM.gov reporting of non-compliance (§ 200.344(i)) is a real consequence that can affect your institution's reputation and future award eligibility, so it's worth escalating to your sponsored programs office and potentially legal counsel before the period of performance ends.
Note: I'm not a lawyer or grants compliance attorney. Your institution's sponsored programs office and legal counsel should be consulted for situation-specific advice, and individual agencies may have award terms or program-specific policies that are stricter than the baseline Uniform Guidance requirements above.</t>
  </si>
  <si>
    <t>Has everything: 200.399, 200.344, 200.309
Hard Stop
Submit all final reports no later than 120 calendar days after the end date
Liquidate (pay) all financial obligations incurred during the period of performance — also within 120 days
Refund any unobligated funds not authorized to be retained
Enforcement Actions
NO Practical Steps</t>
  </si>
  <si>
    <t>Included many search steps and used 308 instead of 309. Did not have practical steps</t>
  </si>
  <si>
    <t xml:space="preserve">Included many search steps and used 308 instead of 309. </t>
  </si>
  <si>
    <t xml:space="preserve">Has everything: 200.399, 200.344,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
Extremely effective in getting all regulations immediately with no other tools. </t>
  </si>
  <si>
    <t>ID</t>
  </si>
  <si>
    <t>I'll look up the current regulatory text on MTDC from 2 CFR § 200.1 (definitions) and § 200.414 (indirect costs).Get valid date for 2 CFR Part 200Get valid date for 2 CFR Part 200The MCP tools for eCFR aren't available in this environment directly via bash, but I can answer this question accurately from the Uniform Guidance at 2 CFR § 200.1 (definitions) and 2 CFR § 200.414 (indirect costs), which define the Modified Total Direct Cost (MTDC) base.
MTDC Exclusions Under 2 CFR § 200.1
The Modified Total Direct Cost (MTDC) base is used to calculate indirect (F&amp;A) costs on federal awards. It starts with total direct costs and then excludes the following categories:
Mandatory Exclusions
Excluded ItemExplanationEquipmentCapital expenditures for items with a unit cost ≥ the institutional capitalization threshold (typically $5,000+)Capital expendituresBuilding purchases, renovations, and other capital improvementsPatient care costsCharges to patients or third-party payers for clinical servicesTuition remissionGraduate student tuition/fee waivers paid as part of compensationRental costs for off-site facilitiesSpace rented outside the institution's normal facilitiesScholarships and fellowshipsDirect awards to students (stipends, tuition payments, etc.)Subcontract costs exceeding $25,000 per subcontractOnly the first $25,000 of each subaward/subcontract is included in MTDC; amounts above that threshold are excluded
Practical Significance of Each Exclusion
Equipment &amp; capital: These are large, one-time costs that don't meaningfully benefit from the ongoing institutional overhead that F&amp;A rates are designed to recover.
$25K subcontract cap: Recognizes that subrecipients bear their own indirect costs — applying the prime institution's full F&amp;A rate to the entire subcontract would effectively double-charge overhead.
Tuition remission: Often treated as a benefit for graduate research assistants, but it flows to the university itself, so applying F&amp;A on top would be circular.
Patient care costs: Clinical service revenue is governed by separate cost accounting rules.
Scholarships/fellowships: Direct student support doesn't consume institutional administrative resources in the same way that personnel and supplies do.
Key Regulatory Citations
Definition of MTDC: 2 CFR § 200.1
Indirect cost rate application: 2 CFR § 200.414
Equipment threshold: 2 CFR § 200.1 (definition of "equipment")
Subawards/subcontracts: 2 CFR § 200.332
⚠️ Note: I always recommend verifying the current regulatory text directly via eCFR.gov or consulting your sponsored programs office, as the Uniform Guidance can be amended. The $25,000 subcontract threshold and the listed exclusion categories have been stable but institutional negotiated rate agreements (NRAs) with cognizant federal agencies may contain additional institution-specific terms.
Would you like me to look up any of these provisions in more detail, or explore how MTDC applies to a specific cost situation?</t>
  </si>
  <si>
    <t>This depends on the context — are you asking about a federally funded research grant, or a different type of project/contract?</t>
  </si>
  <si>
    <t>Now let me fetch the authoritative regulatory text for MTDC from 2 CFR § 200.1 (definitions) and § 200.414.Search for MTDC definition in eCFRSearch for MTDC definition in eCFRThe eCFR MCP tool isn't available in the bash environment, but the MTDC definition is a well-established, stable regulatory provision in the Uniform Guidance. Let me provide the authoritative answer grounded in 2 CFR § 200.1, which defines Modified Total Direct Costs (MTDC).
MTDC Exclusions Under 2 CFR § 200.1 (Uniform Guidance)
Modified Total Direct Costs (MTDC) is the base used to calculate facilities and administrative (F&amp;A / indirect) costs on federal awards. Per 2 CFR § 200.1, the following cost categories must be excluded from the MTDC base:
Mandatory Exclusions
CategoryNotesEquipmentIndividual items costing $5,000 or more (or the institution's capitalization threshold, whichever is lower)Capital expendituresFacilities, renovations, and similar capital outlaysPatient care costsCharges to patients for clinical care in research settingsTuition remissionGraduate student tuition/fee waivers, regardless of stipendRental costs for off-site facilitiesSpace rented specifically for the projectScholarships and fellowshipsStipends and financial aid payments to individualsThe portion of each subcontract/subgrant exceeding $25,000Only the first $25,000 of each subaward is included in MTDC; amounts above that threshold are excluded
Practical Implications
Subcontract threshold is the most frequently misapplied rule. Each subaward gets its own $25,000 inclusion — so if a project has three subcontracts at $100,000 each, only $75,000 total (3 × $25,000) is included in MTDC.
Tuition remission is excluded even when the student is performing direct research work — a common source of confusion.
Equipment is excluded because it is already subject to depreciation tracking and use-rate allocations; applying indirect costs on top would result in double-charging.
Source
These exclusions are defined in:
2 CFR § 200.1 — Definition of "Modified Total Direct Costs (MTDC)"
2 CFR § 200.414 — Indirect (F&amp;A) costs; rate negotiation and application
⚠️ Note: Your institution's negotiated F&amp;A rate agreement (NICRA) and sponsored programs office may impose additional restrictions or clarifications beyond the regulatory minimum. Always verify with your Office of Sponsored Programs or compliance office before finalizing budget calculations.</t>
  </si>
  <si>
    <t xml:space="preserve">Now let me follow the skill's workflow. I'll start by getting version history for Title 2 Part 200 to find the 2022 and current amendment dates, then compare the indirect cost sections.
Get version history for 2 CFR Part 200 to find amendment dates
Get version history for 2 CFR Part 200 to find amendment dates
The MCP tools aren't accessible via bash. Let me use web search to pull the authoritative eCFR data on the Uniform Guidance indirect cost changes.
Searched the web
Searched the web
Here is a comprehensive summary of the indirect cost policy changes between the 2022 Uniform Guidance and the current 2024 revision (effective October 1, 2024 for new awards). All changes are in 2 CFR Part 200.
Indirect Cost Policy Changes: 2022 → 2024 Uniform Guidance
OMB issued the revised OMB Guidance for Federal Financial Assistance on April 22, 2024 — noted as the most significant update to the Uniform Guidance since its original release in 2013. The revised guidance applies to awards issued on or after October 1, 2024. 
Baker Tilly
1. De Minimis Rate Increased — 2 CFR § 200.414(f)
This is the most impactful indirect cost change. The de minimis indirect cost rate percentage is now 15%, increased from the prior 10%. 
US EPA
 The recipient or subrecipient may elect a de minimis rate lower than 15%, but once elected, the same rate must be used for all federal awards unless the entity obtains a Negotiated Indirect Cost Rate Agreement (NICRA). There are no specific documentation requirements needed to justify use of the de minimis rate. 
Coates' Canons
Transition note: Whether the 10% or 15% rate applies is determined on an award-by-award basis. For new direct federal awards issued on or after October 1, 2024, the 2024 revisions are presumed to apply. The 2024 revisions apply to existing awards only if explicitly mentioned in amendments after October 1, 2024. 
Clark Nuber PS
2. MTDC Subaward Cap Updated — 2 CFR § 200.1
The definition of Modified Total Direct Cost (MTDC) — the base used to calculate indirect costs — is updated to allow indirect cost recovery for each subaward up to $50,000. However, this change is not applicable to recipient institutions until the new threshold is reflected in the institution's NICRA. 
Gwu
This means institutions cannot simply apply the $50,000 cap in budgets until their next NICRA renewal explicitly incorporates it.
3. F&amp;A Terminology Removed — 2 CFR § 200.1
OMB has removed the use of the term "Facilities and Administrative (F&amp;A) cost" from the definition of Indirect Cost. However, the Uniform Guidance and many federal agencies continue to use this term, and it is expected to remain in common use interchangeably for some time. 
Gwu
4. Pass-Through Entity Obligations Clarified — 2 CFR § 200.414(d)
There is now a clarification to the requirement that pass-through entities must accept all federally negotiated indirect cost rates for subrecipients. It also clarifies that a recipient or subrecipient may notify OMB of any disputes with federal agencies regarding application of a federally negotiated indirect cost rate — however, OMB clarified it will not serve as a formal arbitrator of indirect cost rate disputes. 
Baker Tilly
5. Equipment Threshold Affecting MTDC — 2 CFR § 200.313
While not exclusively an "indirect cost" provision, this directly affects MTDC calculations. The threshold for defining equipment and other capital expenditures increased from $5,000 to $10,000. 
US EPA
 Items under $10,000 are now treated as supplies rather than equipment, which changes what is included or excluded from the MTDC base.
6. NIH-Specific Implementation Notes
NIH recognizes the updated de minimis rate of 15% for non-SBIR/STTR awards. NIH will continue to honor NICRAs negotiated prior to October 1, 2024, and cognizant agencies for indirect costs may — but are not required to — renegotiate existing NICRAs to reflect the new MTDC definition. 
Grants &amp; Funding
Practical Takeaways for Research Administrators
Change	Old Rule	New Rule (effective Oct. 1, 2024)
De minimis rate	10% of MTDC	Up to 15% of MTDC
MTDC subaward cap	$25,000 per subaward	$50,000 per subaward (requires NICRA update)
F&amp;A terminology	"F&amp;A costs" used formally	Term removed from definition; "indirect costs" preferred
Pass-through NICRA acceptance	Required	Clarified as required; dispute path to OMB added
Equipment threshold (MTDC exclusion)	$5,000	$10,000
Important caveat: The MTDC subaward cap change ($25K → $50K) requires an updated NICRA before institutions can apply it in budgets. Confirm with your cognizant federal agency whether your current rate agreement reflects the updated threshold. For specific awards or agency-level implementation questions, consult your sponsored programs office or legal counsel, as agency adoption varies.
</t>
  </si>
  <si>
    <t>Ecfr get regulation
Result
Done
The answer is right there in the MTDC definition at 2 CFR § 200.1 (current as of October 1, 2024). Here's a breakdown of what must be excluded from the Modified Total Direct Cost (MTDC) base:
Mandatory exclusions — the following cost categories are always excluded from MTDC:
Equipment — tangible personal property with a useful life of more than one year and a per-unit cost ≥ $10,000 (or the organization's capitalization threshold, whichever is less)
Capital expenditures — costs to acquire or improve capital assets
Patient care charges — charges for patient care services
Rental costs — costs for renting real or personal property
Tuition remission — amounts remitted or waived for tuition
Scholarships and fellowships — these awards to students/trainees are excluded
Participant support costs — stipends, subsistence, travel allowances, and registration fees paid directly to or on behalf of program participants
The portion of each subaward exceeding $50,000 — only the first $50,000 of each individual subaward is included in the MTDC base, regardless of the subaward's period of performance
Discretionary exclusions — other items may be excluded only when necessary to avoid a serious inequity in the distribution of indirect costs, and only with the prior approval of the cognizant agency for indirect costs.
A practical note: the $50,000 subaward cap applies per subaward, not per project. So if you have five subrecipients, you count up to $50,000 from each one, for a potential MTDC contribution of up to $250,000 from subawards.
These exclusions exist because these cost categories either don't benefit proportionally from the indirect infrastructure of the organization (e.g., equipment is a one-time capital investment) or are pass-through amounts that generate minimal administrative burden (e.g., the subaward threshold acknowledges that most of the management work on a subaward happens in the early stages).</t>
  </si>
  <si>
    <t>chatGPT Run on 04/08/2026</t>
  </si>
  <si>
    <t>ChatGPT 5.5 - Thinking, Latest model, Standard Thinking Effort</t>
  </si>
  <si>
    <t>20 rows at a time</t>
  </si>
  <si>
    <t>Accuracy_Rating</t>
  </si>
  <si>
    <t>Accuracy_Reasoning</t>
  </si>
  <si>
    <t>Comprehensive_Rating</t>
  </si>
  <si>
    <t>Comprehensive_Reasoning</t>
  </si>
  <si>
    <t>Directly answers the question with a plausible grants-management explanation; the main consequences and deadlines are covered. Some legal consequences are asserted broadly and cannot be fully verified from the row alone, so full certainty is not warranted.</t>
  </si>
  <si>
    <t>It covers the end of spending authority, closeout, return of funds, reporting, potential downstream consequences, and practical next steps; that is strong coverage.</t>
  </si>
  <si>
    <t>It directly answers the approval question and gives a coherent regulatory-style explanation with required steps. Several specific legal thresholds and citations are stated confidently, but they cannot be fully verified from the row alone.</t>
  </si>
  <si>
    <t>It addresses both parts of the request; what documentation is needed and what steps to take before purchase; with useful detail on equipment type, budget revision, submission, and waiting for approval.</t>
  </si>
  <si>
    <t>It directly identifies the exclusion categories and the per-subaward cap, and the answer is internally coherent. Because the question depends on regulation text, the confident specifics cannot be fully verified from the row alone.</t>
  </si>
  <si>
    <t>It covers the major exclusions and adds a helpful note about the subaward cap and NICRA. The explanation is useful, though the formatting is cramped and not especially polished.</t>
  </si>
  <si>
    <t>It gives a sensible, regulation-framed answer and directly addresses prior approval and documentation. Some specifics rely on external claims and confident thresholds that cannot be fully verified from the row alone.</t>
  </si>
  <si>
    <t>It covers equipment type, needed justification, routing, approval timing, and record retention. It is useful, though it is a bit less complete on budget-revision mechanics than stronger versions.</t>
  </si>
  <si>
    <t>It directly answers the question and gives a plausible summary of closeout consequences after an NCE denial. Some consequences are framed strongly and depend on regulatory detail that cannot be fully confirmed from the row alone.</t>
  </si>
  <si>
    <t>It covers remaining extension options, closeout deadlines, unallowable post-end-date costs, agency remedies, and practical takeaways; overall it is very complete.</t>
  </si>
  <si>
    <t>It is directly responsive and logically explains why prior approval is needed and how the rules differ by equipment type. The precise regulatory thresholds and exceptions are asserted confidently without being independently verifiable from the row alone.</t>
  </si>
  <si>
    <t>It covers the regulatory basis, budget revision issue, documentation elements, routing, timing, and practical caveats. That gives strong end-to-end guidance.</t>
  </si>
  <si>
    <t>It provides a coherent answer about equipment approval, budget revision, and procedural steps. Some threshold details are stated confidently and cannot be fully checked from the row alone.</t>
  </si>
  <si>
    <t>It addresses documentation, approval triggers, routing, award terms, timing, and the research-award caveat; that is strong coverage of the request.</t>
  </si>
  <si>
    <t>It directly answers the question and gives a plausible closeout-focused explanation. Some downstream compliance consequences are stated strongly and cannot be fully verified from the row alone.</t>
  </si>
  <si>
    <t>It covers the end of the period of performance, closeout, report/refund obligations, and enforcement risk. It is useful, though it gives fewer practical next steps than the best versions.</t>
  </si>
  <si>
    <t>It gives a direct answer with a coherent explanation of closeout and noncompliance consequences. Several agency-impact claims are somewhat strong and depend on outside verification.</t>
  </si>
  <si>
    <t>It covers the end of spending authority, closeout timing, refunds, unfinished work, future-award implications, and practical caveats; overall it is very thorough.</t>
  </si>
  <si>
    <t>It answers the question directly and provides a plausible framework for deciding whether prior approval is needed and what to submit. Some regulatory details are asserted confidently and cannot be fully verified from the row alone.</t>
  </si>
  <si>
    <t>It covers scope change, transfer thresholds, research-award waivers, required documentation, approver, timeline, and recommended steps; it is highly useful.</t>
  </si>
  <si>
    <t>It does not answer the question; it only asks for clarification. As written, it provides no substantive guidance about what happens when an extension is denied.</t>
  </si>
  <si>
    <t>It fails to cover the requested issue and is not useful beyond narrowing context.</t>
  </si>
  <si>
    <t>It does not provide an answer; the response ends in tool chatter and an incomplete generation failure. The user never receives the requested exclusions.</t>
  </si>
  <si>
    <t>It is not meaningfully complete because the substantive answer is missing.</t>
  </si>
  <si>
    <t>It does not answer the question and only asks for context. There is no substantive explanation of consequences or next steps.</t>
  </si>
  <si>
    <t>It fails to address the user's request in a meaningful way.</t>
  </si>
  <si>
    <t>It directly lists the MTDC exclusions and explains the subaward treatment in a coherent way. The legal specifics sound plausible but cannot be fully verified from the row alone.</t>
  </si>
  <si>
    <t>It covers the exclusion categories, the subaward threshold, why the categories are excluded, and the negotiated-exception point; this is strong coverage.</t>
  </si>
  <si>
    <t>It directly answers the equipment-approval question and provides a plausible regulatory summary. Some legal specifics and procedural claims are confident and cannot be fully verified from the row alone.</t>
  </si>
  <si>
    <t>It covers governing rules, equipment classification, documentation, routing, timing, and practical reminders; overall it is comprehensive.</t>
  </si>
  <si>
    <t>It directly explains what happens after denial and outlines closeout obligations and possible remedies. Some consequences are stated strongly and depend on legal detail that cannot be fully verified from the row alone.</t>
  </si>
  <si>
    <t>It covers closeout, reporting, refunding funds, post-period cost allowability, and agency remedies. It is useful, though less expansive on practical next steps than the strongest answers.</t>
  </si>
  <si>
    <t>It directly answers the approval question and lays out a coherent workflow tied to equipment type and budget revision. The regulatory specifics are plausible but not fully verifiable from the row alone.</t>
  </si>
  <si>
    <t>It addresses approval triggers, required content of the request, transfer-threshold considerations, routing, timing, and the research-award caveat; that is strong coverage.</t>
  </si>
  <si>
    <t>It directly identifies the MTDC exclusions and explains the additional negotiated-exception rule. The answer appears internally consistent, though the exact legal details cannot be fully verified from the row alone.</t>
  </si>
  <si>
    <t>It covers all major exclusion categories, explains the subaward cap, and notes the limited path for excluding other items; it is highly useful.</t>
  </si>
  <si>
    <t>It directly answers the question and lists the major MTDC exclusions clearly. The regulatory specifics are plausible but cannot be independently confirmed from the row alone.</t>
  </si>
  <si>
    <t>It covers the required exclusion categories and adds a useful note about the per-subaward cap and negotiated exceptions. It is concise but still useful.</t>
  </si>
  <si>
    <t>It directly addresses the policy-change comparison and presents a coherent set of changes between the earlier and current rules. Because it makes many detailed regulatory claims, some uncertainty remains without independent verification.</t>
  </si>
  <si>
    <t>It covers the major changes, including de minimis rates, MTDC treatment, terminology, pass-through implications, transition issues, and operational impact; overall it is very comprehensive.</t>
  </si>
  <si>
    <t>MCP</t>
  </si>
  <si>
    <t>Directly answers the question and gives a detailed comparison of policy changes. The core claims sound coherent, but several specific regulatory interpretations are difficult to verify from the row alone, so full certainty is not possible.</t>
  </si>
  <si>
    <t>Covers the main likely changes in depth, including de minimis rates, pass-through obligations, extensions, and terminology. The answer is very usable and addresses the request thoroughly.</t>
  </si>
  <si>
    <t>It directly answers the question and explains the general rule plus the IHE-specific IBS limitation. The answer appears mostly consistent internally, though some very specific regulatory applications cannot be fully verified from the row alone.</t>
  </si>
  <si>
    <t>It covers the major distinction between IHEs and non-IHEs and gives a practical summary table. It is useful, though a few edge cases and caveats are only briefly addressed.</t>
  </si>
  <si>
    <t>It directly addresses what happens when a no-cost extension is denied and lays out closeout, reporting, and consequence issues clearly. Some downstream enforcement consequences are somewhat inferential, so a small amount of uncertainty remains.</t>
  </si>
  <si>
    <t>It covers the major consequences, deadlines, and practical implications in a structured way. The answer is detailed enough to be useful for the scenario presented.</t>
  </si>
  <si>
    <t>It answers the question and gives a plausible explanation, but it explicitly relies on background knowledge after tool failure rather than grounded text from the row. Several specific claims, such as extra caps and regulatory framing, are not verifiable here.</t>
  </si>
  <si>
    <t>It covers the main idea, the IBS limit, and a few important examples. It is fairly useful, but some claims are unsupported and the answer is less solidly grounded than stronger rows.</t>
  </si>
  <si>
    <t>It gives a direct answer and presents a coherent rule about IBS and proportional effort. However, it relies on unsupported regulatory detail after failed tool access, so the specific legal claims cannot be fully trusted from the row alone.</t>
  </si>
  <si>
    <t>It addresses the main question, provides an exception discussion, and gives a practical summary. Still, some details are asserted confidently without support visible in the row.</t>
  </si>
  <si>
    <t>It directly answers the comparison question and presents several concrete policy changes in a logically consistent way. The claims seem plausible, but they depend on outside verification that is not fully available from the row alone.</t>
  </si>
  <si>
    <t>It covers multiple major change areas and includes implementation caveats and transition issues. The answer is broad and detailed enough to be highly useful.</t>
  </si>
  <si>
    <t>It directly answers the salary question and carefully explains proportional effort, IBS, extra service pay, and summer salary. The answer appears internally consistent, though the precise regulatory interpretation cannot be fully confirmed from the row alone.</t>
  </si>
  <si>
    <t>It addresses the core question and the main important nuances with enough detail to guide a user. The answer is thorough and practically useful.</t>
  </si>
  <si>
    <t>It directly compares the revisions and identifies several concrete indirect cost changes with reasonable caveats. The answer is detailed and coherent, though some implementation details remain unsupported within the row itself.</t>
  </si>
  <si>
    <t>It addresses most of the likely major changes, including de minimis rates, MTDC, terminology, pass-through entities, transition rules, and equipment thresholds. Coverage is strong and useful.</t>
  </si>
  <si>
    <t>It directly addresses the denial-of-extension scenario and states the main consequences clearly. The answer appears mostly accurate, though some consequences are framed broadly and would need outside verification for full certainty.</t>
  </si>
  <si>
    <t>It covers the key points of closeout, reporting, returning funds, and future consequences. It is useful, but a bit less nuanced and complete than the strongest responses on the same question.</t>
  </si>
  <si>
    <t>It directly answers the question by listing the required MTDC exclusions and the limited discretionary exclusion. The response is specific, internally consistent, and does not show obvious factual problems from the row alone.</t>
  </si>
  <si>
    <t>It covers all major exclusions, clarifies the subaward rule, and adds helpful context about what remains included in MTDC. The answer is complete and very usable.</t>
  </si>
  <si>
    <t>It directly answers the question with a clear list of exclusions and the approval-based catch-all exclusion. The content is specific and internally consistent, with no clear inaccuracies visible from the row alone.</t>
  </si>
  <si>
    <t>It covers the required exclusions well and adds practical clarification about subawards. It is highly useful, though slightly less complete than the strongest versions because it offers less contextual framing.</t>
  </si>
  <si>
    <t>It directly answers the MTDC exclusion question with a clear and specific list that is internally consistent. No obvious inaccuracies or contradictions are apparent from the row alone.</t>
  </si>
  <si>
    <t>It covers the mandatory exclusions, the limited additional exclusion, and useful clarification about what remains included in MTDC. The answer is comprehensive and practical.</t>
  </si>
  <si>
    <t>It directly answers the comparison question and includes many concrete changes, but some of its more specific legal interpretations appear more assertive than the row itself can support. That makes the answer only partially reliable on accuracy.</t>
  </si>
  <si>
    <t>The response is very detailed and covers many possible change areas and implications. Even with some uncertainty around correctness, its coverage is extensive.</t>
  </si>
  <si>
    <t>It directly addresses the question and provides a rich comparison, but it shifts the comparison baseline to 2021 and makes several nuanced interpretive claims that are hard to verify from the row alone. That uncertainty lowers confidence in full accuracy.</t>
  </si>
  <si>
    <t>It covers many major components of the policy change question and gives detailed explanation and implications. The answer is broad and useful despite the uncertainty around some details.</t>
  </si>
  <si>
    <t>It directly answers the question and explains the proportional-share rule, IBS, and agency-specific caps in a coherent way. The main reasoning seems sound, though precise regulatory correctness is not fully verifiable from the row alone.</t>
  </si>
  <si>
    <t>It covers the core question, defines IBS, gives examples, and addresses exceptions and agency-specific limits. The answer is detailed and useful.</t>
  </si>
  <si>
    <t>It directly explains the consequences of a denied no-cost extension and ties them to closeout and noncompliance. The answer is mostly coherent and plausible, though some enforcement consequences are somewhat generalized.</t>
  </si>
  <si>
    <t>It covers closeout, reporting deadlines, refunds, remedies, and practical implications in enough detail to be very useful. Most major aspects of the question are addressed.</t>
  </si>
  <si>
    <t>It directly compares the earlier and current guidance and identifies several concrete indirect cost changes and transition points. The answer appears mostly sound, though some detailed implementation claims are not fully verifiable from the row alone.</t>
  </si>
  <si>
    <t>It covers the major policy areas, including de minimis rates, MTDC changes, and transition rules. The explanation is detailed and broadly useful.</t>
  </si>
  <si>
    <t>It directly answers what happens after denial of an extension and presents the sequence of end of performance, closeout, ongoing obligations, and remedies clearly. Some consequences are framed somewhat broadly, but the core answer is solid.</t>
  </si>
  <si>
    <t>It addresses the main administrative and compliance consequences with good structure and enough detail to be actionable. Coverage is strong across the major parts of the question.</t>
  </si>
  <si>
    <t>It directly answers the policy-change question and identifies several plausible changes with contextual explanation. The answer is mostly convincing, but some specific transition and dispute-handling details cannot be fully verified from the row alone.</t>
  </si>
  <si>
    <t>It covers the major likely changes and gives practical implications and transition context. The response is detailed and useful for the full question.</t>
  </si>
  <si>
    <t>It directly answers the question with a clear list of MTDC exclusions and the conditional catch-all exclusion. The answer is specific, internally consistent, and shows no obvious factual problems from the row alone.</t>
  </si>
  <si>
    <t>It covers the required exclusions, clarifies common points of confusion, and adds relevant implementation context. The answer is complete and useful.</t>
  </si>
  <si>
    <t>Directly answers the question with the key limitation that salary can only be charged in proportion to effort and tied to IBS. The regulatory details sound coherent, but the row alone does not let all cited specifics be fully verified.</t>
  </si>
  <si>
    <t>It covers the main rule, IBS definition, effort limitation, and practical examples. It is useful, though some extra detail is not necessary for the core question.</t>
  </si>
  <si>
    <t>It squarely answers by listing the major MTDC exclusions and stays internally consistent. The legal specifics are detailed and plausible, but not fully verifiable from the row alone.</t>
  </si>
  <si>
    <t>It covers the exclusion categories, notes the possibility of additional exclusions with approval, and explains practical impact. That gives strong, useful coverage of the question.</t>
  </si>
  <si>
    <t>It directly answers what happens after a denied extension and gives a coherent explanation of period end, closeout, and consequences. Some regulatory citations and deadlines are specific enough that they cannot be fully confirmed from the row alone.</t>
  </si>
  <si>
    <t>It addresses major consequences, deadlines, enforcement risks, and even pre-end-date options. The answer is detailed and practically useful.</t>
  </si>
  <si>
    <t>It directly answers with the central point that charges are limited to the proportionate share of IBS rather than the full salary amount. The cited regulatory detail appears coherent, though not fully checkable from the row alone.</t>
  </si>
  <si>
    <t>It covers the core rule, IBS definition, documentation requirement, and an agency-cap caveat. That is strong coverage, with only minor missing nuance for non-IHE contexts.</t>
  </si>
  <si>
    <t>It gives a clear, internally consistent answer that closeout proceeds and post-end-date costs are generally unallowable. The specific regulatory claims are plausible but cannot be fully verified from the row alone.</t>
  </si>
  <si>
    <t>It covers closeout obligations, enforcement tools, and practical implications. It is useful, though it is a bit less expansive than the strongest versions.</t>
  </si>
  <si>
    <t>It directly addresses the prior-approval question and lays out a coherent distinction between special-purpose and general-purpose equipment plus budget revision triggers. The many legal specifics are not fully verifiable from the row alone.</t>
  </si>
  <si>
    <t>It explains what approvals may be needed, what documentation to prepare, and what steps to take before purchase. This gives thorough, actionable coverage.</t>
  </si>
  <si>
    <t>It appears responsive and internally organized, but it makes many specific historical and regulatory-comparison claims that cannot be confidently verified from the row alone. Because the answer is highly specific and confident, that uncertainty lowers the score.</t>
  </si>
  <si>
    <t>It covers several major policy-change areas, transition notes, and practical takeaways. Even with verification uncertainty, the coverage is broad and useful.</t>
  </si>
  <si>
    <t>It directly answers the consequences of a denied no-cost extension and stays coherent about closeout, unspent funds, and reporting. The precise regulatory deadlines and consequences are asserted confidently but are not fully verifiable from the row alone.</t>
  </si>
  <si>
    <t>It covers the main operational consequences and some proactive options. It is useful, though not as complete as the most detailed responses.</t>
  </si>
  <si>
    <t>It directly lists what must be excluded from MTDC and stays internally consistent throughout. The detailed regulatory assertions are plausible but cannot be fully confirmed from the row alone.</t>
  </si>
  <si>
    <t>It covers each major exclusion category, explains the subaward threshold issue, and adds a practical note on additional exclusions. That is comprehensive and useful.</t>
  </si>
  <si>
    <t>It directly answers the question with a coherent explanation of award end, closeout, return of funds, and inability to keep charging costs. The regulatory details are specific and plausible, though not fully verifiable from the row alone.</t>
  </si>
  <si>
    <t>It covers the major consequences, practical next steps, and agency-specific caveats. The answer is broad and useful.</t>
  </si>
  <si>
    <t>It directly answers the question and gives the central limitation that only the proportionate share of IBS tied to effort can be charged. The details sound coherent, but the row alone does not fully verify every legal nuance.</t>
  </si>
  <si>
    <t>It covers the short answer, IBS definition, effort limitation, and distinctions across contexts. That is thorough and practically helpful.</t>
  </si>
  <si>
    <t>It directly addresses the denied-extension scenario and explains closeout obligations, enforcement, and practical implications in a coherent way. The specific legal details are plausible but not fully verifiable from the row alone.</t>
  </si>
  <si>
    <t>It covers triggers, obligations, consequences, and possible next steps. The answer is detailed and useful for the user.</t>
  </si>
  <si>
    <t>It is responsive and well structured, but it makes numerous detailed before-versus-after regulatory claims that cannot be confidently confirmed from the row alone. The certainty of those specifics keeps the accuracy score moderate rather than high.</t>
  </si>
  <si>
    <t>It covers several distinct policy changes and summarizes their practical implications well. The breadth of coverage is strong.</t>
  </si>
  <si>
    <t>It appears to answer the question, but it makes many detailed claims about regulatory changes and implementation that cannot be independently verified from the row alone. That level of specificity creates accuracy uncertainty.</t>
  </si>
  <si>
    <t>It covers the main policy-change themes and gives some practical interpretation. It is useful, though slightly less complete and careful than the strongest comparison answers.</t>
  </si>
  <si>
    <t>It directly answers with the core rule that full salary can only be charged if the employee is devoting 100% of compensated effort to the award. The answer is internally coherent, though the legal specifics are not fully verifiable from the row alone.</t>
  </si>
  <si>
    <t>It covers the general rule, IBS limitation, and practical implication of full-time effort. The coverage is strong and useful.</t>
  </si>
  <si>
    <t>It directly addresses what prior approval is needed and explains the key equipment distinctions and approval triggers clearly. The detailed regulatory citations are plausible but cannot be fully verified from the row alone.</t>
  </si>
  <si>
    <t>It covers approval requirements, documentation, and process steps before purchase. The answer is thorough and actionable.</t>
  </si>
  <si>
    <t>It gives a usable answer, but the opening "No" is somewhat misleading because the rest of the response clarifies that full salary may be charged only when effort is actually 100%. The regulatory specifics also cannot be fully verified from the row alone.</t>
  </si>
  <si>
    <t>It covers the core rule, IBS limitation, and effort-based charging. It is useful, though the framing could be clearer and more directly aligned to the question.</t>
  </si>
  <si>
    <t>It is highly detailed and responsive, but it makes many precise comparative claims about old and new regulatory text that cannot be confidently verified from the row alone. The confidence and granularity of those claims limit the accuracy score.</t>
  </si>
  <si>
    <t>It covers multiple policy areas, summarizes changes in a table-like form, and includes implementation caveats. The coverage is broad and useful.</t>
  </si>
  <si>
    <t>It directly answers the approval question and presents a coherent explanation of when prior approval is required and why. The many regulatory specifics are not fully verifiable from the row alone.</t>
  </si>
  <si>
    <t>It covers the relevant approval triggers, documentation expectations, and process steps. This is comprehensive and practical.</t>
  </si>
  <si>
    <t>It directly answers with the key point that salary charges are limited to the proportionate share of IBS tied to effort. The response is internally coherent, though the detailed legal specifics are not fully verifiable from the row alone.</t>
  </si>
  <si>
    <t>It covers the main rule, defines IBS, and explains the proportional-effort limitation. That is useful coverage, with only minor missing nuance.</t>
  </si>
  <si>
    <t>Timestamp</t>
  </si>
  <si>
    <t>4/8/2026  2:16:00PM</t>
  </si>
  <si>
    <t>The response directly answers the salary-charging question and gives a coherent IBS-based rule with relevant caveats. It appears mostly correct, but the detailed regulatory claims cannot be fully verified from the row alone.</t>
  </si>
  <si>
    <t>It covers the main rule, practical examples, documentation, and exceptions. A bit more direct focus on the exact “full compensation package” phrasing would have made it more complete.</t>
  </si>
  <si>
    <t>The response addresses the MTDC exclusion question, but it appears to rely on older thresholds, especially the $25,000 subcontract cap, which is a notable factual problem for a “current” answer. That makes it mostly inaccurate despite listing several correct exclusion categories.</t>
  </si>
  <si>
    <t>It covers the main categories and gives practical explanations, so it is moderately useful. However, the outdated threshold materially weakens completeness for a current-policy question.</t>
  </si>
  <si>
    <t>The response directly answers what approval documentation and steps are needed, and the reasoning is internally consistent and detailed. It appears mostly accurate, though some regulatory specifics are too detailed to fully verify from the row alone.</t>
  </si>
  <si>
    <t>It addresses both required documentation and the process before purchase, including routing, budget revision, justification, and waiting for written approval. This is strong end-to-end coverage.</t>
  </si>
  <si>
    <t>The response directly addresses what happens when an NCE is denied and gives a coherent closeout-focused explanation. Some consequences beyond core closeout rules sound plausible but are not fully verifiable from the row alone.</t>
  </si>
  <si>
    <t>It covers the major consequences, deadlines, liquidation, refunds, reporting, and practical next steps. It is highly useful and addresses all major parts of the question.</t>
  </si>
  <si>
    <t>The response is responsive and detailed, but it makes many specific comparative claims that are hard to verify from the row alone, and some sound interpretive rather than clearly established facts. That makes it only partially reliable.</t>
  </si>
  <si>
    <t>It provides broad coverage of multiple indirect-cost policy changes, practical takeaways, and a summary table. Even with accuracy uncertainty, it is very comprehensive.</t>
  </si>
  <si>
    <t>The response answers the question but appears to use outdated figures, especially the $25,000 subaward threshold, which is a substantial factual issue for a current-regulation answer. The rest is partly correct, but the key error lowers the score significantly.</t>
  </si>
  <si>
    <t>It lists the exclusion categories and adds practical implications, which is somewhat useful. Still, the outdated threshold means an important part of the answer is missing or wrong.</t>
  </si>
  <si>
    <t>The response directly compares versions and is internally coherent, with no obvious contradiction in the row. Some of the more granular claims remain hard to confirm from the text alone, so “mostly accurate” is safer than fully accurate.</t>
  </si>
  <si>
    <t>It covers the major policy changes, explains them section by section, and gives practical takeaways. Coverage is strong and useful.</t>
  </si>
  <si>
    <t>The response directly answers the comparison question and presents a plausible set of policy changes with practical implications. A few detailed claims depend on outside verification, so the score stops short of fully accurate.</t>
  </si>
  <si>
    <t>It covers the major indirect-cost changes, transition notes, and summary comparisons. This is broad and useful coverage of the question.</t>
  </si>
  <si>
    <t>The response is responsive and mostly coherent, but it appears to use an older equipment definition threshold and speaks somewhat generally about prior approval. That creates notable uncertainty and possible inaccuracy.</t>
  </si>
  <si>
    <t>It covers what equipment is, why approval is needed, what documentation to include, and the general steps. It is useful, though not as complete or precise as the stronger versions.</t>
  </si>
  <si>
    <t>The response directly addresses the policy-change comparison and is detailed and internally consistent. Some specific regulatory-change claims are difficult to verify from the row alone, so a fully accurate score is not warranted.</t>
  </si>
  <si>
    <t>It addresses multiple major changes, explains the before-and-after differences, and gives a practical summary. Coverage is strong.</t>
  </si>
  <si>
    <t>The response clearly answers both what documentation is needed and what steps must occur before purchase. It appears mostly accurate and well structured, though some rule details cannot be fully confirmed from the row alone.</t>
  </si>
  <si>
    <t>It covers equipment type, budget revision, thresholds, approval workflow, and pre-purchase steps. This is a thorough response to all major components.</t>
  </si>
  <si>
    <t>The response directly answers the question with a clear IBS-based rule and relevant caveats. It appears mostly accurate, but the detailed regulatory interpretation cannot be fully verified from the row alone.</t>
  </si>
  <si>
    <t>It covers the core rule, examples, exceptions, documentation, and related salary situations. It is thorough and useful.</t>
  </si>
  <si>
    <t>The response directly answers the question and consistently explains the IBS cap concept. It appears mostly accurate, but the detailed legal interpretation is not fully verifiable from the row alone.</t>
  </si>
  <si>
    <t>It addresses the main rule, examples, and important edge cases such as overload and summer salary. Coverage is strong.</t>
  </si>
  <si>
    <t>The response directly addresses prior approval requirements and steps for unbudgeted equipment and is internally consistent. Some legal details remain hard to verify from the row alone, but there are no obvious major errors in the text shown.</t>
  </si>
  <si>
    <t>It covers documentation, equipment type distinctions, budget revision, approval timing, and process steps. It thoroughly answers the request.</t>
  </si>
  <si>
    <t>The response directly answers the comparison question and gives a coherent explanation of key changes. Some narrower claims are hard to verify from the row alone, so the safest rating is mostly accurate.</t>
  </si>
  <si>
    <t>It covers several major policy changes, dates, and practical implications. The answer is detailed and highly useful.</t>
  </si>
  <si>
    <t>The response directly answers what happens if the project cannot be completed and an NCE is denied, with a coherent closeout-based explanation. Some institution-level consequence claims go beyond what can be confidently verified from the row alone.</t>
  </si>
  <si>
    <t>It covers end-of-performance consequences, deadlines, liquidation, refunds, reporting, and practical next steps. The response is very complete.</t>
  </si>
  <si>
    <t>The response directly answers the MTDC exclusion question and gives a clear list of exclusions with plausible practical notes. The legal specifics sound credible, but full verification is not possible from the row alone.</t>
  </si>
  <si>
    <t>It includes the exclusion list, explains the subaward cap, and adds useful application notes and caveats. This is strong coverage.</t>
  </si>
  <si>
    <t>The response directly answers the question with a clear list of exclusions and brief explanations. It appears mostly accurate, though the regulatory specifics cannot be fully confirmed from the row alone.</t>
  </si>
  <si>
    <t>It covers all major exclusion categories and adds practical interpretation. The answer is concise but still comprehensive enough to be useful.</t>
  </si>
  <si>
    <t>The response directly compares the older and current rules and presents a plausible, structured explanation. A number of detailed claims depend on external verification, so it is safer to score it as mostly accurate rather than fully accurate.</t>
  </si>
  <si>
    <t>It covers the major policy changes, transition rules, terminology, and practical notes. Overall coverage is strong and useful.</t>
  </si>
  <si>
    <t>Directly answers with relevant rules and steps; the core explanation appears plausible and internally consistent. One statement overgeneralizes by implying almost any unbudgeted equipment needs approval, which is broader than the response’s own threshold discussion suggests.</t>
  </si>
  <si>
    <t>Covers the main components well; regulatory basis, documentation, process steps, timing, and follow-up obligations. It is detailed and practically useful.</t>
  </si>
  <si>
    <t>Directly answers the question by listing the exclusions and the subaward cap rule. The claims are specific, internally consistent, and match the kind of definition the question asks for.</t>
  </si>
  <si>
    <t>Fully covers the requested exclusions and adds a helpful note about the limited exception and subaward treatment. It is complete and usable.</t>
  </si>
  <si>
    <t>Directly answers by distinguishing what MTDC includes versus excludes and then listing the exclusions. The content is specific and coherent, with no clear internal inaccuracies.</t>
  </si>
  <si>
    <t>Strong coverage of the exclusion list and surrounding context, including the subaward threshold. It gives enough detail to be fully useful.</t>
  </si>
  <si>
    <t>Directly answers the salary question and clearly frames IBS as a ceiling tied to proportional effort. The explanation is specific and internally consistent, with no obvious contradictions.</t>
  </si>
  <si>
    <t>Covers the core rule and its practical meaning well. It appears detailed enough to guide the reader on when salary may and may not be charged.</t>
  </si>
  <si>
    <t>Directly addresses the approval question with a plausible regulatory explanation and process. As with similar answers, it slightly overstates the rule by suggesting nearly all unbudgeted equipment requires approval despite also discussing thresholds and equipment type distinctions.</t>
  </si>
  <si>
    <t>Thoroughly covers documentation, internal routing, sponsor approval, timing, and procurement. It is detailed and actionable.</t>
  </si>
  <si>
    <t>It directly answers the question and the consequences described are plausible and internally consistent. Some claims, such as the scope-reduction pathway and future-funding effects, are sensible but not tightly supported within the row, so full certainty is limited.</t>
  </si>
  <si>
    <t>Covers the major consequences and practical next steps in a useful way. It addresses funding, closeout, reporting, and compliance risks.</t>
  </si>
  <si>
    <t>Directly answers with relevant regulatory framing and practical steps. The main weakness is slight overbreadth in implying unbudgeted equipment generally requires prior approval even though the response also notes distinctions and thresholds.</t>
  </si>
  <si>
    <t>Provides strong end-to-end coverage; rule, documentation, institutional steps, sponsor submission, waiting for written approval, and procurement follow-through. Very useful for the scenario.</t>
  </si>
  <si>
    <t>Directly answers by stating the IBS-based limit and explaining that salary cannot exceed the proportional share charged to the award. The response appears precise and internally consistent.</t>
  </si>
  <si>
    <t>Covers the core rule and its application clearly enough to be highly useful. It appears to address both the yes/no part and the limiting conditions.</t>
  </si>
  <si>
    <t>Directly answers by listing the MTDC exclusions and clarifying the treatment of subawards. The content is specific, coherent, and well aligned to the question.</t>
  </si>
  <si>
    <t>Fully covers the exclusion categories and adds useful clarification about the first $50,000 of each subaward. It is complete and practical.</t>
  </si>
  <si>
    <t>Directly answers the question and explains the governing principle clearly. The claims about proportional IBS and not exceeding it are coherent and there are no obvious internal issues.</t>
  </si>
  <si>
    <t>Provides a strong, useful explanation of the rule and its practical limit. It appears comprehensive for the question asked.</t>
  </si>
  <si>
    <t>Directly addresses the prior-approval issue with a structured explanation and practical process. It is mostly convincing, though it slightly overgeneralizes the approval requirement relative to its own later threshold discussion.</t>
  </si>
  <si>
    <t>Comprehensive and actionable; it covers classification, award terms, internal approvals, sponsor request, written approval, and procurement. Very useful overall.</t>
  </si>
  <si>
    <t>Directly answers the yes/no question and explains the IBS limit in a clear, internally consistent way. No obvious inaccuracies or contradictions appear in the text shown.</t>
  </si>
  <si>
    <t>It appears to give both the short answer and the rule’s practical application, which makes it fully useful for the user.</t>
  </si>
  <si>
    <t>Directly answers by identifying the MTDC exclusions and framing them as the governing list. The content is specific, coherent, and closely tied to the question.</t>
  </si>
  <si>
    <t>Covers the requested exclusions completely and gives enough context to make the answer useful. The treatment appears thorough.</t>
  </si>
  <si>
    <t>Directly answers the question with a plausible regulatory summary and practical steps. The only notable weakness is some overgeneralization around when prior approval is required for unbudgeted equipment.</t>
  </si>
  <si>
    <t>Strong coverage of the issue, including the relevant sections, approval process, and pre-purchase steps. It is detailed and actionable.</t>
  </si>
  <si>
    <t>Directly answers the question and clearly states the limiting principle that charges cannot exceed the proportionate share of IBS. The explanation is internally consistent and responsive.</t>
  </si>
  <si>
    <t>Covers the major elements needed to understand and apply the rule. It is complete and useful for the question asked.</t>
  </si>
  <si>
    <t>Directly answers with a concrete comparison between the earlier and current rules, including specific policy changes. The response is detailed, internally consistent, and materially responsive.</t>
  </si>
  <si>
    <t>Very comprehensive; it covers multiple policy areas, practical effects, and applicability timing. It fully addresses the comparison request.</t>
  </si>
  <si>
    <t>Directly answers the question and lays out plausible consequences of a denied extension. Some specifics, especially agency-specific implications and lack of any remedy, are sensible but not fully verifiable from the row alone.</t>
  </si>
  <si>
    <t>Covers the major consequences, reporting duties, funding treatment, and practical next steps. It is thorough and useful.</t>
  </si>
  <si>
    <t>Directly answers the salary question and explains the IBS-based cap clearly. The response is specific, coherent, and shows no obvious internal factual problems.</t>
  </si>
  <si>
    <t>It appears to cover the main rule and the practical implication well. The answer is complete for the user’s question.</t>
  </si>
  <si>
    <t>Directly addresses the unbudgeted equipment scenario with relevant rule framing and steps. It is mostly accurate, though it slightly overstates the breadth of the prior-approval requirement while also acknowledging distinctions and thresholds.</t>
  </si>
  <si>
    <t>It thoroughly covers what documentation and steps are needed before purchase. The answer is detailed, practical, and broadly complete.</t>
  </si>
  <si>
    <t>Disregarding the tool and code-like content, the remaining answer appears to contain some relevant regulatory material, so it is not purely non-responsive. However, it still does not clearly synthesize the answer, and its correctness is hard to judge confidently from the row alone because the response seems fragmented rather than directly stated.</t>
  </si>
  <si>
    <t>Once the tool and code statements are ignored, the response still gives only limited usable coverage because it does not cleanly organize the exclusions into a direct answer. It may contain relevant source text, but it remains shallow and not very user-friendly.</t>
  </si>
  <si>
    <t xml:space="preserve">You are an LLM judge evaluating chatbot answers in a tabular dataset.
Your task is to read each row and produce evaluation results using only semantic reasoning. Do not execute code, do not simulate running code, do not assume access to external tools, and do not use any spreadsheet formulas. Judge only from the text provided in each row. Disregard any tool calls or code within a response for this evaluation.
INPUT COLUMNS:
- Question
- Response
- ID
OUTPUT REQUIREMENTS:
For every input row, return exactly one output row with these columns in this exact order:
- ID
- Accuracy_Rating
- Accuracy_Reasoning
- Comprehensive_Rating
- Comprehensive_Reasoning
SCORING RUBRIC
Accuracy_Rating:
Assign a whole number from 1 to 5 based on factual correctness and how well the response answers the question.
- 5 = Fully accurate; directly answers the question; no meaningful factual issues
- 4 = Mostly accurate; minor omissions or slight imprecision; still fundamentally correct
- 3 = Partially accurate; mixed correctness; contains notable gaps, ambiguity, or partially unsupported claims
- 2 = Mostly inaccurate; substantial factual problems or serious misunderstanding
- 1 = Clearly inaccurate, misleading, fabricated, non-responsive, or contradicts the question
Accuracy_Reasoning:
Provide a concise but specific explanation of why the accuracy score was assigned. Mention whether the response directly addresses the question, whether claims appear correct or unsupported, and whether there are clear inaccuracies, hallucinations, or contradictions.
Comprehensive_Rating:
Assign a whole number from 1 to 5 based on completeness, usefulness, and coverage of the user’s question.
- 5 = Fully comprehensive; addresses all major parts of the question with enough detail to be useful
- 4 = Strong coverage; addresses most important parts with only minor missing details
- 3 = Moderately comprehensive; covers some key points but misses important aspects
- 2 = Limited coverage; misses major aspects or gives shallow treatment
- 1 = Not comprehensive; fails to meaningfully address the request
Comprehensive_Reasoning:
Provide a concise but specific explanation of whether the response covers all major components of the question, whether important details are missing, and whether the answer is useful to the user.
IMPORTANT JUDGING RULES:
- Evaluate each row independently
- You can ignore any tool statements like "Get regulation" or other similar computing lines in your evaluation.
- Use only the contents of the row
- Do not execute code or infer results from code
- Do not use external knowledge unless the response itself makes its correctness evaluable from common-sense reasoning
- If the question requires outside factual verification and the response sounds plausible but cannot be confidently verified from the row alone, reflect that uncertainty in the rating and reasoning rather than pretending certainty
- Penalize hallucinated details, non-answers, contradictions, or overconfident unsupported claims
- Do not leave any field blank
- All ratings must be whole integers only
- Be consistent across rows
- Keep reasoning concise but specific; usually 1 to 3 sentences per reasoning field
- Preserve the original ID exactly
OUTPUT FORMAT:
Return a markdown table with exactly these columns:
| ID | Accuracy_Rating | Accuracy_Reasoning | Comprehensive_Rating | Comprehensive_Reasoning 
Evaluate all provided rows.
Here are the rows to evaluate:
</t>
  </si>
  <si>
    <t>ChatGPT 5.5 Thinking</t>
  </si>
  <si>
    <t>Searched for 200.407 but did not include in response. 
Has everything:
 200.439, 200.308
Allowability
General vs Special
Unit cost 10K or more
10% of budget
Capital improvements
Budget revision
Agency 30 day
PI write justification
Do not obligate until approval
Waiver</t>
  </si>
  <si>
    <t>Used search functions twice but not generic enough. Also searched for 407 but did not include
Has everything:
 200.439, 200.308
Allowability
General vs Special
Unit cost 10K or more
10% of budget
Capital improvements
Budget revision
Agency 30 day
PI write justification
Do not obligate until approval
Waiver</t>
  </si>
  <si>
    <t>Searched for 200.407 but did not include in response. 
Has everything:
 200.439, 200.308
Allowability
General vs Special
Unit cost 10K or more
10% of budget
NO Capital improvements
Budget revision
Agency 30 day
PI write justification
Do not obligate until approval
Waiver</t>
  </si>
  <si>
    <t>Included institution procurement procedure note and scope change note.
Response:
 200.439, 200.308
Allowability
General vs Special
Unit cost 10K or more
NO 10% of budget
Capital improvements
Budget revision
NO Agency 30 day
PI write justification
Do not obligate until approval
Waiver</t>
  </si>
  <si>
    <t>Included the change from 5K to 10K, Irrelevant UW shortcut and slightly less accurate in that statement.
Response:
 200.439, 
NO 200.308
Allowability
General vs Special
Unit cost 10K or more
NO 10% of budget
Capital improvements
Budget revision
NO Agency 30 day
PI write justification
Do not obligate until approval
Waiver</t>
  </si>
  <si>
    <t xml:space="preserve"> Irrelevant UW shortcut and slightly less accurate in that statement.
Response:
 200.439, 200.308
Allowability
General vs Special
Unit cost 10K or more
10% of budget
Capital improvements
Budget revision
Agency 30 day
PI write justification
Do not obligate until approval
Waiver</t>
  </si>
  <si>
    <t>Good note on the 10K and the award date
Response:
 200.439, 200.308
Allowability
General vs Special
Unit cost 10K or more
NO 10% of budget
NO Capital improvements
Budget revision
NO Agency 30 day
PI write justification
Do not obligate until approval
Waiver</t>
  </si>
  <si>
    <t>Used 5K instead of 10K and included a lot of other policy citations.
Response:
 200.439, 200.308
Allowability
NO General vs Special
NO Unit cost 10K or more
NO 10% of budget
NO Capital improvements
Budget revision
NO Agency 30 day
PI write justification
Do not obligate until approval
Waiver</t>
  </si>
  <si>
    <t>Irrelevant Grant management Officer instead of Program Officer and UW note.
Response:
 200.439, 
NO 200.308
Allowability
General vs Special
Unit cost 10K or more
NO 10% of budget
Capital improvements
Budget revision
NO Agency 30 day
PI write justification
Do not obligate until approval
NO Waiver</t>
  </si>
  <si>
    <t xml:space="preserve">Got the $10,0000 equipment definition. Has a practical tip, Used search multiple times.
For the first get_regulation.Error executing tool ecfr_get_regulation: Request timed out for versioner/v1/full/2024-10-01/title-2.xml after 2 retries.
</t>
  </si>
  <si>
    <t>Put 5K instead of 10K multiple times.
Response:
 200.439, 
NO 200.308
Allowability
General vs Special
NO Unit cost 10K or more
NO 10% of budget
NO Capital improvements
NO Budget revision
NO Agency 30 day
PI write justification
Do not obligate until approval
NO Waiver</t>
  </si>
  <si>
    <t>Time</t>
  </si>
  <si>
    <t>Did not put any dollar amount, irrelevant subpart E with no explanation. No general vs special.
Response:
200.439, 
200.308
Allowability
NO General vs Special
NO Unit cost 10K or more
10% of budget
NO Capital improvements
Budget revision
Agency 30 day
PI write justification
Do not obligate until approval
Waiver</t>
  </si>
  <si>
    <t>Nice that it included procurement and award end dates notes.  Irrelevant UW shortcut.
Response:
200.439, 
NO 200.308
Allowability
General vs Special
Unit cost 10K or more
NO 10% of budget
Capital improvements
NO Budget revision
NO Agency 30 day
PI write justification
Do not obligate until approval
Waiver</t>
  </si>
  <si>
    <t>Included property records 200.313 and procurement.
Response:
200.439, 
200.308
Allowability
General vs Special
Unit cost 10K or more
NO 10% of budget
Capital improvements
Budget revision
NO Agency 30 day
PI write justification
Do not obligate until approval
NO Waiver</t>
  </si>
  <si>
    <t>Row Labels</t>
  </si>
  <si>
    <t>Linked out to weird ad websits for the ecfr. More standard tips for interacting with agencies:
Has everything: 
NO 200.399, 200.344, NO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</si>
  <si>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Tells user to negotiate. 
Linked out to weird ad websits for the ecfr. More standard tips for interacting with agencies:
Has everything: 
NO 200.399, 200.344, 200.309
Hard Stop
Submit all final reports no later than 120 calendar days after the end date
Liquidate (pay) all financial obligations incurred during the period of performance — also within 120 days
Refund any unobligated funds not authorized to be retained
NO Enforcement Actions
Practical Steps</t>
  </si>
  <si>
    <t>Linked out to weird ad websits for the ecfr:
Has everything: 
NO 200.399, 200.344,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</si>
  <si>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Mentions 2 CFR § 200.208 correctly. Includes COVID impacts which is irrelevant now:
Has everything: 
NO 200.399, 200.344,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</si>
  <si>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Got the number of days wrong. Included a VETS (Veterans) thing whihc is irrelevant. 
Has everything: 
NO 200.399, 200.344, 200.309
Hard Stop
NO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</si>
  <si>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Includes negotiating tip. Includes period of performance no cost extension date. Talked about department being responsible for expenses.
Has everything: 
NO 200.399, 200.344, NO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</si>
  <si>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Included the CPARS which borders on the realm of irrelevance. 
Tells the recipient to spend down strategically which is not good advice. 
Has everything: 
NO 200.399, 200.344,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</si>
  <si>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No mention of any days.
Has everything: 
NO 200.399, 200.344, 200.309
Hard Stop
NO DAYS: Submit all final reports no later than 120 calendar days after the end date
NO DAYS: Liquidate (pay) all financial obligations incurred during the period of performance — also within 120 days
Refund any unobligated funds not authorized to be retained
NO Enforcement Actions
Practical Steps</t>
  </si>
  <si>
    <t>2 searches and 5 total tools. Included CPARS.
Has everything: 200.399, 200.344,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</si>
  <si>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Included § 200.339 and property 200.310.
Used get regulation a lot but no searches
Has everything: NO 200.399, 200.344, NO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</si>
  <si>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 xml:space="preserve">Talks about property. uses exact citations for every bullet.
Used 2 searches and 2 regs.
Has everything: 200.399, 200.344,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
</t>
  </si>
  <si>
    <t>Used get regulation 5 times and 2 searches. More casual speak.
It is talking about the 12 month self-initiated which is not reevant in this example. Talks about debt and suggests a closeout reporting extension.
Has everything: 200.399, 200.344,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</si>
  <si>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Talked about a competitive renewal. It is talking about the 12 month self-initiated which is not reevant in this example. Got the subaward 90 days correct.
Has everything: 200.399, 200.344, 200.309
Hard Stop
Submit all final reports no later than 120 calendar days after the end date
Liquidate (pay) all financial obligations incurred during the period of performance — also within 120 days
Refund any unobligated funds not authorized to be retained
Enforcement Actions
Practical Steps</t>
  </si>
  <si>
    <t xml:space="preserve">Less tools accessed.
Contains:
200.414. and  200.332
De minimis rate to 15%
Agency coercion of de minimis rate prohibited
Permitted Serial rate extensions
Public rate transparency moved to appendix
Modified Total Direct Cost to 50K
Equipment from 5K to 10K
NICRA
removed the use of the term "Facilities and Administrative (F&amp;A) </t>
  </si>
  <si>
    <t>Contains:
200.414. and  NO 200.332
De minimis rate to 15%
Modified Total Direct Cost to 50K
Equipment from 5K to 10K
NICRA
removed the use of the term "Facilities and Administrative (F&amp;A) 
NO Public rate transparency moved to appendix
NO Agency coercion of de minimis rate prohibited
NO Permitted Serial rate extensions</t>
  </si>
  <si>
    <t>I'll follow the skill workflow: search for prior approval provisions, get valid amendment dates for two comparison points, then compare the regulatory text.Searched the webSearched the webNow let me fetch the actual regulatory text of § 200.407 (prior written approval) to compare versions directly.Searched the webSearched the webNow let me also fetch details on § 200.308 budget revision prior approvals and any 2025-specific changes.Searched the webSearched the webI now have enough information from authoritative sources to give a thorough, well-cited answer. Here is a structured analysis:
Prior Approval Changes: 2023 Proposed Rule vs. 2024 Final Revision to 2 CFR Part 200
A clarification on terminology first: what is often called the "2025 revision" is the 2024 Final Rule published April 22, 2024, effective for awards made on or after October 1, 2024. The "2023 revision" refers to the October 5, 2023 Notice of Proposed Rulemaking (NPRM). The final rule largely adopted the proposed changes, with some modifications. Here is a breakdown by section:
§ 200.407 — Prior Written Approval (Cost Categories)
This is the most substantive change. The pre-revision (2020) version listed approximately 25 cost categories where prior written approval could be required for allowability.
What the 2023 NPRM proposed: OMB proposed removing ten items from the prior written approval requirements in § 200.407 to reduce Federal agency and recipient burden. Baker Tilly
What the 2024 Final Rule did: The final rule removed fewer items than originally proposed — specifically six cost categories were removed from the § 200.407 list. Certain costs that previously required prior written approval have been removed, which include: Real Property (§ 200.311), Entertainment Costs and Prizes (§ 200.438), Memberships, subscriptions, and professional activity costs (§ 200.454), Participant Support Costs (§ 200.456), Selling and marketing costs (§ 200.467), and Taxes (§ 200.470). US EPA
Importantly, equipment prior approval was not eliminated, though it was restructured. OMB revised the list of prior approval requirements in § 200.407 to remove reference to the real property and equipment provisions in §§ 200.311 and 200.313. However, § 200.439 — which continues to be separately referenced — still describes circumstances in which prior written approval is required for allowability of equipment and other capital expenditures. Institute of Museum and Library Services In other words, equipment prior approval moved to a different regulatory home (§ 200.439) rather than being eliminated.
The summary effect, per a Nebraska state agency addendum: The update removes prior approval requirements for five categories: real property, equipment purchases under § 200.313, entertainment costs, participant support costs, and taxes, providing greater administrative flexibility in these areas. Nebraska Department of Economic Development
§ 200.308 — Revision of Budget and Program Plans
Pre-revision rule (2020): The prior rule required recipients to request prior approval for specific budget and program changes, but had a less structured agency response timeline.
2024 Final Rule changes: Several meaningful shifts occurred:
Agency response deadline made explicit: The Federal agency or pass-through entity must review the request for budget or program plan revision and should notify the recipient or subrecipient whether the revisions have been approved within 30 days of receipt of the request. The Federal agency or pass-through entity must inform the recipient or subrecipient in writing when a decision can be expected if more than 30 days is required for a review. eCFR This 30-day accountability requirement is new and more explicit than in the 2020 rule.
Limitation on agency-imposed prior approvals: Unless specified in the guidance, the Federal agency must not impose additional prior approval requirements without OMB approval. eCFRLegal Information Institute
Subaward switching: Recipients are no longer required to seek prior approval when switching subrecipients unless explicitly required in the award, and prior approval is not needed for procurement of goods and services. Nebraska Department of Economic Development
One-time no-cost extensions: Prior approval is not required if a recipient is authorized in the terms and conditions of the Federal award to initiate a one-time extension. One-time extensions require prior approval only when: the terms and conditions prohibit the extension; the extension requires additional Federal funds; or the extension involves any change in the approved scope of the project. eCFR
Research award waivers: The prior approval requirements for the actions described in paragraph (g) of § 200.308 are automatically waived for Federal awards that support research eCFR (subject to specific exceptions).
§ 200.307 — Program Income
A narrower but notable prior approval change: OMB clarified paragraph (b) to include the prior approval requirement for using the addition or cost sharing methods of applying program income, if those are not the specified method(s) in the terms and conditions of the award. Institute of Museum and Library Services This actually added clarity around when prior approval is needed for program income disposition methods.
Practical Implications
AreaPre-2024 Rule2024 Final Rule§ 200.407 cost categories requiring PA~25 listed items~6 categories removed (real property, entertainment, memberships, participant support, selling/marketing, taxes)Equipment prior approvalIn § 200.407 listMoved to § 200.439; still required for capital expendituresAgency response to budget revision requestsNo firm deadline30-day response requirement; must notify if delay expectedSubrecipient switchingPrior approval requiredNo longer required unless award terms specifyResearch award waiversPartialAutomatic waiver for most § 200.308(g) actionsAgency-added prior approvalsLess restrictedCannot be imposed without OMB approval
Key caveat: While the 2023 NPRM proposed removing up to ten items from § 200.407, the 2024 final rule was more conservative, removing approximately six. Institutions should review the April 22, 2024 Federal Register final rule (89 FR 30136) and their specific federal agency's implementing regulations, as agencies like NIH, NSF, and HHS may have additional or agency-specific prior approval requirements layered on top of the baseline Uniform Guidance. As always, consult your sponsored programs office or legal counsel for institution-specific compliance guidance.</t>
  </si>
  <si>
    <t>Now let me follow the skill's workflow — first get version history to identify the 2022 date and current date, then compare the key indirect cost sections.Get version history for 2 CFR Part 200 to identify amendment datesGet version history for 2 CFR Part 200 to identify amendment datesI'll use web search to look up the specific 2024 Uniform Guidance revision changes to indirect cost policy, since the eCFR MCP tools aren't directly accessible via bash. Let me pull authoritative sources.Searched the webSearched the webHere is a comprehensive summary of the indirect cost policy changes between the pre-2024 (2022-era) Uniform Guidance and the current 2024 revision to 2 CFR Part 200, which took effect for awards issued on or after October 1, 2024.
Indirect Cost Policy Changes: 2022 vs. 2024 Uniform Guidance (2 CFR Part 200)
OMB issued the revised Guidance for Federal Financial Assistance on April 22, 2024, described as the most significant update to the Uniform Guidance since its original release in 2013. Baker Tilly Here are the specific indirect cost changes:
1. De Minimis Rate Increase — § 200.414(f)
This is the most impactful change for organizations without a NICRA.
The de minimis indirect cost rate increased from 10% to 15% of Modified Total Direct Costs (MTDC). The ability to use the new rate depends on whether the 2024 revisions are effective for the specific federal award being managed — a determination made on an award-by-award basis. Clark Nuber PS
Any entity that does not have a current NICRA (including a provisional rate) and has received less than $35 million in direct federal funding for the fiscal year requested may elect to charge the 15% de minimis rate. No documentation is required to justify the de minimis indirect cost rate. USDA
Pass-through entity implications: Pass-through entities can now approve an indirect cost rate of up to 15% (previously 10%) for subrecipient organizations that do not have a federally negotiated indirect cost rate, allowing subrecipients such as nonprofits and small businesses to increase their cost recovery. Usc
2. Modified Total Direct Costs (MTDC) Definition — § 200.1
The MTDC base — on which indirect costs are calculated — changed in two ways that directly affect indirect cost recovery:
Subaward threshold: The definition of MTDC was updated to allow indirect cost recovery for each subaward up to $50,000 (previously $25,000). This change is not applicable to recipient institutions until the updated definition is reflected in the institution's NICRA. Gwu
Equipment threshold: The capitalization threshold for equipment increases from $5,000 to $10,000, so items costing $9,999 or less can be treated as supplies and materials and included in the MTDC base. US EPA This means more costs now sit in the indirect base, potentially increasing recovery.
3. Federal Agency Acceptance of NICRAs — § 200.414(c)
Federal agencies must accept a recipient's NICRA unless a different rate is required by Federal statute or regulation for a class of Federal awards or a single Federal award, or when approved by a Federal awarding agency head or delegate through the deviation process. A pass-through entity must similarly accept a subrecipient's federally negotiated indirect cost rate unless a different rate is required by statute, regulation, or an approved deviation. US EPA
This language strengthens protections for recipients and subrecipients against agencies unilaterally imposing lower rates.
4. Terminology: Removal of "F&amp;A" from Indirect Cost Definition
OMB removed the term "Facilities and Administrative (F&amp;A) cost" from the definition of Indirect Cost. However, the Uniform Guidance and many federal agencies continue to use this term, and the two terms will likely be used interchangeably for some time. Gwu
5. NICRA Transition Rules
NICRAs negotiated prior to October 1, 2024, must continue to be honored by both federal agencies and recipients. Cognizant agencies for indirect costs may — but are not required to — renegotiate existing NICRAs to reflect the new MTDC base. OMB encouraged cognizant agencies to accommodate requests to renegotiate existing NICRAs in effect beyond October 1, 2025. Grants &amp; Funding
At NIH specifically, changes to NICRAs will not be honored on non-competing continuation awards. Grants &amp; Funding
Practical Summary Table
Policy AreaPre-2024 (2022)2024 RevisionDe minimis rate10% of MTDCUp to 15% of MTDCMTDC subaward cap$25,000/subaward$50,000/subawardEquipment threshold in MTDC$5,000$10,000PTE de minimis for subrecipients10%Up to 15%F&amp;A terminologyUsed in definitionsRemoved from definitions
Important compliance notes:
The new thresholds (especially the $50,000 subaward MTDC cap) do not automatically apply — they take effect upon your institution's next NICRA negotiation. Check with your sponsored programs office before applying higher thresholds in proposals.
If your institution already has a NICRA, you cannot switch to the de minimis rate until that NICRA expires or is formally terminated.
Agency-specific implementation varies (e.g., NIH will not apply NICRA changes to non-competing continuations). Always consult your program officer or grants specialist for agency-specific guidance.</t>
  </si>
  <si>
    <t>Now let me look up the version history for the indirect cost sections and then compare them.Loaded tools, used ecfr integrationLoaded tools, used ecfr integrationThe latest amendment date is 2024-10-01. Now let me get the version history specifically for the indirect cost section (§ 200.414) to find the 2022 date and compare to the current version.Ecfr get title versionsEcfr get title versionsThe pre-2024 version of § 200.414 is from 2020-11-12. Now I'll compare that to the current 2024-10-01 version. I'll also check the de minimis rate section (§ 200.414 covers both) and check nearby sections. Let me run the comparison now.Ecfr compare regulationsEcfr compare regulationsI have the full comparison. Let me now synthesize this into a clear analysis.
Here is a detailed breakdown of what changed in 2 CFR § 200.414 between the pre-2024 version (effective November 2020, which was also the version in place during 2022) and the current version (effective October 1, 2024), as retrieved directly from the eCFR.
Indirect Cost Policy Changes: Pre-2024 vs. Current (2 CFR § 200.414)
1. De Minimis Rate Raised from 10% to 15% — and Now Flexible
This is the most consequential change.
The old § 200.414(f) fixed the de minimis rate at a flat 10% of MTDC. The 2024 revision replaces this with a range of up to 15% of MTDC, and explicitly gives recipients and subrecipients the authority to self-select any rate up to that ceiling. There is no longer a single required number — the organization determines what is appropriate, up to the limit.
Additionally, the 2024 text adds a new protection: Federal agencies and pass-through entities are expressly prohibited from requiring a de minimis rate lower than what the recipient elected (unless Federal statute or regulation requires it). This is a new recipient-protective provision with no equivalent in the pre-2024 text.
The 2024 version also clarifies that the de minimis rate must not be applied to cost reimbursement contracts issued directly by the Federal Government under the FAR — a distinction not spelled out in the prior version.
2. One-Time Rate Extension: Subsequent Extensions Removed
Per § 200.414(g), both versions allow a recipient with a negotiated rate to apply for a one-time extension of up to four years. However, the old text explicitly permitted subsequent one-time extensions (up to four years each), so long as a renegotiation was completed between each extension request.
The 2024 version eliminates this "daisy-chain" option. It now simply states that after a new rate is negotiated, the entity "may again apply for a one-time extension" — which preserves a single subsequent extension but removes the implication of unlimited renewals. The language is tighter and more consistent with the "one-time" label.
3. Recipient Right to Dispute Rate Deviations Added
Under old § 200.414(c)(2), only the Federal awarding agency head had an obligation to notify OMB of approved deviations from negotiated rates.
The 2024 revision adds that recipients and subrecipients may also notify OMB of disputes with Federal agencies regarding the application of a federally negotiated indirect cost rate. This is a new formal avenue for recipients to contest agency non-acceptance of their negotiated rate.
4. Pass-Through Entity Obligation Strengthened
Old § 200.414(d) simply stated that pass-through entities are "subject to the requirements in § 200.332(a)(4)."
The 2024 text rewrites this as: pass-through entities "must accept all federally negotiated indirect costs rates for subrecipients." The cross-reference is updated to § 200.332(b)(4), and the obligation to accept negotiated rates is now stated explicitly and affirmatively in § 200.414 itself, not merely by cross-reference.
5. Rate Transparency Requirement (§ 200.414(h)) Removed
The old version contained a paragraph (h) requiring that the federally negotiated indirect rate, distribution base, and rate type be publicly available on an OMB-designated Federal website (with a carve-out for Indian tribes). This entire paragraph was deleted in the 2024 revision. The practical effect of this removal is not yet entirely clear — the underlying transparency expectation may be addressed elsewhere in agency policy — but the explicit regulatory mandate is gone.
6. Terminology Modernized
Throughout, "indirect (F&amp;A) costs" is simplified to "indirect costs," and "non-Federal entity" is replaced with "recipient or subrecipient" — consistent with the broader 2024 revision's terminology cleanup across Part 200.
Practical Implications
AreaPrior (2022)Current (2024)De minimis rateFixed at 10% MTDCUp to 15% MTDC, self-selectedAgency rate override protectionNot explicitAgencies/PTEs may not impose a lower rateRecipient dispute mechanismNoneRecipients may notify OMB of disputesRate extensionsUnlimited sequential extensions allowedEffectively one subsequent extension after renegotiationPass-through obligationBy cross-reference onlyExplicitly statedRate transparency postingRequired per § 200.414(h)Paragraph removed
The de minimis rate increase is the change with the broadest impact on smaller organizations and new recipients — particularly nonprofits and local governments that have never negotiated a rate and previously had to accept 10% as a ceiling. As of October 1, 2024, those organizations can now recover up to 15% without negotiating a formal rate agreement.
Note: These findings are based on regulatory text fetched directly from the eCFR as of April 1, 2026. Always verify with your institution's sponsored programs or compliance office, as some agencies may have supplementary policies or transition rules that affect implementation.</t>
  </si>
  <si>
    <t>4/16/2026 8:08:00AM</t>
  </si>
  <si>
    <t>The response directly answers the question and gives a structured comparison of policy changes between the earlier and current versions. Most claims are plausible and internally consistent, but several points rely on detailed legal interpretation that cannot be fully verified from the row alone, so a small uncertainty remains rather than a perfect score.</t>
  </si>
  <si>
    <t>The response covers the major policy changes in detail, including de minimis rate changes, extension rules, dispute rights, pass-through obligations, transparency, terminology, and practical implications. It is organized, specific, and useful for the user’s question, with no major missing component apparent from the row.</t>
  </si>
  <si>
    <t>Web Search</t>
  </si>
  <si>
    <t>AI Judge: Accuracy Rating</t>
  </si>
  <si>
    <t>AI Judge: Accuracy Reasoning</t>
  </si>
  <si>
    <t>AI Judge: Comprehensive Rating</t>
  </si>
  <si>
    <t>AI Judge: Comprehensive Reasoning</t>
  </si>
  <si>
    <t>Question Group</t>
  </si>
  <si>
    <t>Charging Salary</t>
  </si>
  <si>
    <t>Equipment Scenario</t>
  </si>
  <si>
    <t>MTDC Exclusion</t>
  </si>
  <si>
    <t>Denied Extension</t>
  </si>
  <si>
    <t>Column Labels</t>
  </si>
  <si>
    <t>Grand Total</t>
  </si>
  <si>
    <t>t-Test: Two-Sample Assuming Unequal Variances</t>
  </si>
  <si>
    <t>Variable 1</t>
  </si>
  <si>
    <t>Variable 2</t>
  </si>
  <si>
    <t>Mean</t>
  </si>
  <si>
    <t>Variance</t>
  </si>
  <si>
    <t>Observations</t>
  </si>
  <si>
    <t>Hypothesized Mean Difference</t>
  </si>
  <si>
    <t>df</t>
  </si>
  <si>
    <t>t Stat</t>
  </si>
  <si>
    <t>P(T&lt;=t) one-tail</t>
  </si>
  <si>
    <t>t Critical one-tail</t>
  </si>
  <si>
    <t>P(T&lt;=t) two-tail</t>
  </si>
  <si>
    <t>t Critical two-tail</t>
  </si>
  <si>
    <t>All</t>
  </si>
  <si>
    <t>Expected = (Row Total × Column Total) / Grand Total</t>
  </si>
  <si>
    <t>No</t>
  </si>
  <si>
    <t>Yes</t>
  </si>
  <si>
    <t>Distinct Count of ID</t>
  </si>
  <si>
    <t>t-Test: Paired Two Sample for Means</t>
  </si>
  <si>
    <t>Pearson Correlation</t>
  </si>
  <si>
    <t>Human</t>
  </si>
  <si>
    <t>AI</t>
  </si>
  <si>
    <t>Comprehensiveness</t>
  </si>
  <si>
    <t>Accuracy</t>
  </si>
  <si>
    <t>AI As a Judge</t>
  </si>
  <si>
    <t>Evaluation Notes</t>
  </si>
  <si>
    <t>Plots inside Power BI</t>
  </si>
  <si>
    <t>Claude Settings: Memory for Search and Reference is off. Generate memory from chat history is off.</t>
  </si>
  <si>
    <t>Yes, leadership question. However eval was not done in time.</t>
  </si>
  <si>
    <t>Rubric for each question response in notes in Raw Data.</t>
  </si>
  <si>
    <t>Copy over entire response from Claude Desktop.</t>
  </si>
  <si>
    <t>Prompt below:</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</si>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</sst>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sz val="8"/>
      <name val="Aptos Narrow"/>
      <family val="2"/>
      <scheme val="minor"/>
    </font>
    <font>
      <sz val="12"/>
      <color theme="1"/>
      <name val="Aptos Narrow"/>
      <family val="2"/>
      <scheme val="minor"/>
    </font>
    <font>
      <sz val="12"/>
      <color rgb="FF464646"/>
      <name val="Arial"/>
      <family val="2"/>
    </font>
    <font>
      <b/>
      <sz val="12"/>
      <color theme="1"/>
      <name val="Aptos Narrow"/>
      <family val="2"/>
      <scheme val="minor"/>
    </font>
    <font>
      <sz val="12"/>
      <color theme="1"/>
      <name val="Calibri"/>
      <family val="2"/>
    </font>
    <font>
      <sz val="12"/>
      <color rgb="FFFF0000"/>
      <name val="Aptos Narrow"/>
      <family val="2"/>
      <scheme val="minor"/>
    </font>
    <font>
      <i/>
      <sz val="11"/>
      <color theme="1"/>
      <name val="Aptos Narrow"/>
      <family val="2"/>
      <scheme val="minor"/>
    </font>
    <font>
      <sz val="10"/>
      <color theme="1"/>
      <name val="Arial Unicode MS"/>
    </font>
    <font>
      <sz val="7"/>
      <color rgb="FF000000"/>
      <name val="Courier New"/>
      <family val="3"/>
    </font>
    <font>
      <b/>
      <sz val="10"/>
      <color rgb="FF000000"/>
      <name val="Arial Unicode MS"/>
    </font>
    <font>
      <sz val="11"/>
      <color rgb="FFFF0000"/>
      <name val="Aptos Narrow"/>
      <family val="2"/>
      <scheme val="minor"/>
    </font>
  </fonts>
  <fills count="9">
    <fill>
      <patternFill patternType="none"/>
    </fill>
    <fill>
      <patternFill patternType="gray125"/>
    </fill>
    <fill>
      <patternFill patternType="solid">
        <fgColor theme="3" tint="0.74999237037263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4" tint="0.79998168889431442"/>
        <bgColor theme="4" tint="0.79998168889431442"/>
      </patternFill>
    </fill>
    <fill>
      <patternFill patternType="solid">
        <fgColor rgb="FFFFFF00"/>
        <bgColor indexed="64"/>
      </patternFill>
    </fill>
  </fills>
  <borders count="4">
    <border>
      <left/>
      <right/>
      <top/>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0">
    <xf numFmtId="0" fontId="0" fillId="0" borderId="0" xfId="0"/>
    <xf numFmtId="0" fontId="1" fillId="0" borderId="0" xfId="0" applyFont="1"/>
    <xf numFmtId="0" fontId="3" fillId="0" borderId="0" xfId="0" applyFont="1"/>
    <xf numFmtId="0" fontId="5" fillId="0" borderId="0" xfId="0" applyFont="1" applyAlignment="1">
      <alignment wrapText="1"/>
    </xf>
    <xf numFmtId="22" fontId="3" fillId="0" borderId="0" xfId="0" applyNumberFormat="1" applyFont="1" applyAlignment="1">
      <alignment horizontal="left"/>
    </xf>
    <xf numFmtId="22" fontId="3" fillId="3" borderId="0" xfId="0" applyNumberFormat="1" applyFont="1" applyFill="1"/>
    <xf numFmtId="0" fontId="3" fillId="0" borderId="0" xfId="0" applyFont="1" applyAlignment="1">
      <alignment wrapText="1"/>
    </xf>
    <xf numFmtId="0" fontId="6" fillId="0" borderId="0" xfId="0" applyFont="1"/>
    <xf numFmtId="0" fontId="3" fillId="0" borderId="0" xfId="0" applyFont="1" applyAlignment="1">
      <alignment horizontal="left"/>
    </xf>
    <xf numFmtId="0" fontId="5" fillId="0" borderId="0" xfId="0" applyFont="1" applyAlignment="1">
      <alignment horizontal="left" indent="1"/>
    </xf>
    <xf numFmtId="0" fontId="3" fillId="0" borderId="0" xfId="0" applyFont="1" applyAlignment="1">
      <alignment horizontal="left" indent="1"/>
    </xf>
    <xf numFmtId="0" fontId="6" fillId="0" borderId="0" xfId="0" applyFont="1" applyAlignment="1">
      <alignment wrapText="1"/>
    </xf>
    <xf numFmtId="0" fontId="5" fillId="0" borderId="0" xfId="0" applyFont="1" applyAlignment="1">
      <alignment horizontal="left" wrapText="1"/>
    </xf>
    <xf numFmtId="0" fontId="5" fillId="3" borderId="0" xfId="0" applyFont="1" applyFill="1" applyAlignment="1">
      <alignment wrapText="1"/>
    </xf>
    <xf numFmtId="0" fontId="0" fillId="0" borderId="0" xfId="0" applyAlignment="1">
      <alignment wrapText="1"/>
    </xf>
    <xf numFmtId="0" fontId="1" fillId="0" borderId="0" xfId="0" applyFont="1" applyAlignment="1">
      <alignment wrapText="1"/>
    </xf>
    <xf numFmtId="1" fontId="5" fillId="3" borderId="0" xfId="0" applyNumberFormat="1" applyFont="1" applyFill="1" applyAlignment="1">
      <alignment horizontal="left" wrapText="1"/>
    </xf>
    <xf numFmtId="1" fontId="3" fillId="3" borderId="0" xfId="0" applyNumberFormat="1" applyFont="1" applyFill="1" applyAlignment="1">
      <alignment horizontal="left"/>
    </xf>
    <xf numFmtId="0" fontId="0" fillId="5" borderId="0" xfId="0" applyFill="1" applyAlignment="1">
      <alignment wrapText="1"/>
    </xf>
    <xf numFmtId="0" fontId="1" fillId="0" borderId="0" xfId="0" applyFont="1" applyAlignment="1">
      <alignment horizontal="center" vertical="center" wrapText="1"/>
    </xf>
    <xf numFmtId="0" fontId="1" fillId="5" borderId="0" xfId="0" applyFont="1" applyFill="1" applyAlignment="1">
      <alignment horizontal="center" vertical="center" wrapText="1"/>
    </xf>
    <xf numFmtId="22" fontId="3" fillId="3" borderId="0" xfId="0" applyNumberFormat="1" applyFont="1" applyFill="1" applyAlignment="1">
      <alignment horizontal="left"/>
    </xf>
    <xf numFmtId="0" fontId="6" fillId="0" borderId="0" xfId="0" applyFont="1" applyAlignment="1">
      <alignment horizontal="left"/>
    </xf>
    <xf numFmtId="0" fontId="3" fillId="0" borderId="0" xfId="0" applyFont="1" applyAlignment="1">
      <alignment horizontal="left" vertical="top"/>
    </xf>
    <xf numFmtId="0" fontId="3" fillId="3" borderId="0" xfId="0" applyFont="1" applyFill="1"/>
    <xf numFmtId="0" fontId="0" fillId="0" borderId="0" xfId="0" applyAlignment="1">
      <alignment horizontal="left"/>
    </xf>
    <xf numFmtId="1" fontId="3" fillId="0" borderId="0" xfId="0" applyNumberFormat="1" applyFont="1" applyAlignment="1">
      <alignment horizontal="left"/>
    </xf>
    <xf numFmtId="1" fontId="3" fillId="8" borderId="0" xfId="0" applyNumberFormat="1" applyFont="1" applyFill="1" applyAlignment="1">
      <alignment horizontal="left"/>
    </xf>
    <xf numFmtId="0" fontId="1" fillId="0" borderId="0" xfId="0" applyFont="1" applyAlignment="1">
      <alignment horizontal="right" vertical="center" wrapText="1"/>
    </xf>
    <xf numFmtId="0" fontId="0" fillId="0" borderId="0" xfId="0" applyAlignment="1">
      <alignment vertical="center"/>
    </xf>
    <xf numFmtId="0" fontId="0" fillId="0" borderId="0" xfId="0" applyAlignment="1">
      <alignment horizontal="right" vertical="center"/>
    </xf>
    <xf numFmtId="0" fontId="1" fillId="6" borderId="0" xfId="0" applyFont="1" applyFill="1" applyAlignment="1">
      <alignment wrapText="1"/>
    </xf>
    <xf numFmtId="1" fontId="7" fillId="0" borderId="0" xfId="0" applyNumberFormat="1" applyFont="1" applyAlignment="1">
      <alignment horizontal="left"/>
    </xf>
    <xf numFmtId="0" fontId="0" fillId="0" borderId="0" xfId="0" pivotButton="1"/>
    <xf numFmtId="0" fontId="0" fillId="0" borderId="2" xfId="0" applyBorder="1"/>
    <xf numFmtId="0" fontId="8" fillId="0" borderId="3" xfId="0" applyFont="1" applyBorder="1" applyAlignment="1">
      <alignment horizontal="center"/>
    </xf>
    <xf numFmtId="0" fontId="9" fillId="0" borderId="0" xfId="0" applyFont="1" applyAlignment="1">
      <alignment vertical="center"/>
    </xf>
    <xf numFmtId="0" fontId="0" fillId="7" borderId="1" xfId="0" applyFill="1" applyBorder="1"/>
    <xf numFmtId="0" fontId="10" fillId="0" borderId="0" xfId="0" applyFont="1"/>
    <xf numFmtId="0" fontId="11" fillId="0" borderId="0" xfId="0" applyFont="1"/>
    <xf numFmtId="2" fontId="11" fillId="0" borderId="0" xfId="0" applyNumberFormat="1" applyFont="1"/>
    <xf numFmtId="0" fontId="1" fillId="6" borderId="0" xfId="0" applyFont="1" applyFill="1" applyAlignment="1">
      <alignment horizontal="center" vertical="center" wrapText="1"/>
    </xf>
    <xf numFmtId="0" fontId="12" fillId="0" borderId="0" xfId="0" applyFont="1"/>
    <xf numFmtId="0" fontId="7" fillId="0" borderId="0" xfId="0" applyFont="1"/>
    <xf numFmtId="0" fontId="3" fillId="4" borderId="0" xfId="0" applyFont="1" applyFill="1" applyAlignment="1">
      <alignment horizontal="left" wrapText="1"/>
    </xf>
    <xf numFmtId="1" fontId="3" fillId="4" borderId="0" xfId="0" applyNumberFormat="1" applyFont="1" applyFill="1" applyAlignment="1">
      <alignment horizontal="left" wrapText="1"/>
    </xf>
    <xf numFmtId="1" fontId="3" fillId="2" borderId="0" xfId="0" applyNumberFormat="1" applyFont="1" applyFill="1" applyAlignment="1">
      <alignment horizontal="left" wrapText="1"/>
    </xf>
    <xf numFmtId="0" fontId="3" fillId="2" borderId="0" xfId="0" applyFont="1" applyFill="1" applyAlignment="1">
      <alignment horizontal="left" wrapText="1"/>
    </xf>
    <xf numFmtId="0" fontId="3" fillId="3" borderId="0" xfId="0" applyFont="1" applyFill="1" applyAlignment="1">
      <alignment horizontal="left" wrapText="1"/>
    </xf>
    <xf numFmtId="0" fontId="4" fillId="0" borderId="0" xfId="0" applyFont="1" applyAlignment="1">
      <alignment horizontal="lef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o, Sabrina (swoo@uidaho.edu)" refreshedDate="46130.854122800927" backgroundQuery="1" createdVersion="8" refreshedVersion="8" minRefreshableVersion="3" recordCount="0" supportSubquery="1" supportAdvancedDrill="1" xr:uid="{3A387B48-941D-4E4C-B796-A62917DCE7F0}">
  <cacheSource type="external" connectionId="1"/>
  <cacheFields count="4">
    <cacheField name="[Range].[MCP].[MCP]" caption="MCP" numFmtId="0" level="1">
      <sharedItems count="2">
        <s v="MCP"/>
        <s v="Web Search"/>
      </sharedItems>
    </cacheField>
    <cacheField name="[Range].[Was the answer factual? (0 or 1)].[Was the answer factual? (0 or 1)]" caption="Was the answer factual? (0 or 1)" numFmtId="0" hierarchy="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Range].[Was the answer factual? (0 or 1)].&amp;[0]"/>
            <x15:cachedUniqueName index="1" name="[Range].[Was the answer factual? (0 or 1)].&amp;[1]"/>
          </x15:cachedUniqueNames>
        </ext>
      </extLst>
    </cacheField>
    <cacheField name="[Range].[Include irrelevant information? (0 or 1)].[Include irrelevant information? (0 or 1)]" caption="Include irrelevant information? (0 or 1)" numFmtId="0" hierarchy="7" level="1">
      <sharedItems containsSemiMixedTypes="0" containsNonDate="0" containsString="0"/>
    </cacheField>
    <cacheField name="[Measures].[Distinct Count of ID]" caption="Distinct Count of ID" numFmtId="0" hierarchy="17" level="32767"/>
  </cacheFields>
  <cacheHierarchies count="18">
    <cacheHierarchy uniqueName="[Range].[MCP]" caption="MCP" attribute="1" defaultMemberUniqueName="[Range].[MCP].[All]" allUniqueName="[Range].[MCP].[All]" dimensionUniqueName="[Range]" displayFolder="" count="2" memberValueDatatype="130" unbalanced="0">
      <fieldsUsage count="2">
        <fieldUsage x="-1"/>
        <fieldUsage x="0"/>
      </fieldsUsage>
    </cacheHierarchy>
    <cacheHierarchy uniqueName="[Range].[Question]" caption="Question" attribute="1" defaultMemberUniqueName="[Range].[Question].[All]" allUniqueName="[Range].[Question].[All]" dimensionUniqueName="[Range]" displayFolder="" count="0" memberValueDatatype="130" unbalanced="0"/>
    <cacheHierarchy uniqueName="[Range].[Question Group]" caption="Question Group" attribute="1" defaultMemberUniqueName="[Range].[Question Group].[All]" allUniqueName="[Range].[Question Group].[All]" dimensionUniqueName="[Range]" displayFolder="" count="0" memberValueDatatype="130" unbalanced="0"/>
    <cacheHierarchy uniqueName="[Range].[ID]" caption="ID" attribute="1" defaultMemberUniqueName="[Range].[ID].[All]" allUniqueName="[Range].[ID].[All]" dimensionUniqueName="[Range]" displayFolder="" count="0" memberValueDatatype="20" unbalanced="0"/>
    <cacheHierarchy uniqueName="[Range].[Was the answer factual? (0 or 1)]" caption="Was the answer factual? (0 or 1)" attribute="1" defaultMemberUniqueName="[Range].[Was the answer factual? (0 or 1)].[All]" allUniqueName="[Range].[Was the answer factual? (0 or 1)].[All]" dimensionUniqueName="[Range]" displayFolder="" count="2" memberValueDatatype="20" unbalanced="0">
      <fieldsUsage count="2">
        <fieldUsage x="-1"/>
        <fieldUsage x="1"/>
      </fieldsUsage>
    </cacheHierarchy>
    <cacheHierarchy uniqueName="[Range].[Accuracy Rating (1-5)]" caption="Accuracy Rating (1-5)" attribute="1" defaultMemberUniqueName="[Range].[Accuracy Rating (1-5)].[All]" allUniqueName="[Range].[Accuracy Rating (1-5)].[All]" dimensionUniqueName="[Range]" displayFolder="" count="0" memberValueDatatype="20" unbalanced="0"/>
    <cacheHierarchy uniqueName="[Range].[Comprehensive Rating (1-5)]" caption="Comprehensive Rating (1-5)" attribute="1" defaultMemberUniqueName="[Range].[Comprehensive Rating (1-5)].[All]" allUniqueName="[Range].[Comprehensive Rating (1-5)].[All]" dimensionUniqueName="[Range]" displayFolder="" count="0" memberValueDatatype="20" unbalanced="0"/>
    <cacheHierarchy uniqueName="[Range].[Include irrelevant information? (0 or 1)]" caption="Include irrelevant information? (0 or 1)" attribute="1" defaultMemberUniqueName="[Range].[Include irrelevant information? (0 or 1)].[All]" allUniqueName="[Range].[Include irrelevant information? (0 or 1)].[All]" dimensionUniqueName="[Range]" displayFolder="" count="2" memberValueDatatype="20" unbalanced="0">
      <fieldsUsage count="2">
        <fieldUsage x="-1"/>
        <fieldUsage x="2"/>
      </fieldsUsage>
    </cacheHierarchy>
    <cacheHierarchy uniqueName="[Range].[Step Efficiency Rating (1-5)]" caption="Step Efficiency Rating (1-5)" attribute="1" defaultMemberUniqueName="[Range].[Step Efficiency Rating (1-5)].[All]" allUniqueName="[Range].[Step Efficiency Rating (1-5)].[All]" dimensionUniqueName="[Range]" displayFolder="" count="0" memberValueDatatype="20" unbalanced="0"/>
    <cacheHierarchy uniqueName="[Range].[AI Judge: Accuracy Rating]" caption="AI Judge: Accuracy Rating" attribute="1" defaultMemberUniqueName="[Range].[AI Judge: Accuracy Rating].[All]" allUniqueName="[Range].[AI Judge: Accuracy Rating].[All]" dimensionUniqueName="[Range]" displayFolder="" count="0" memberValueDatatype="20" unbalanced="0"/>
    <cacheHierarchy uniqueName="[Range].[AI Judge: Accuracy Reasoning]" caption="AI Judge: Accuracy Reasoning" attribute="1" defaultMemberUniqueName="[Range].[AI Judge: Accuracy Reasoning].[All]" allUniqueName="[Range].[AI Judge: Accuracy Reasoning].[All]" dimensionUniqueName="[Range]" displayFolder="" count="0" memberValueDatatype="130" unbalanced="0"/>
    <cacheHierarchy uniqueName="[Range].[AI Judge: Comprehensive Rating]" caption="AI Judge: Comprehensive Rating" attribute="1" defaultMemberUniqueName="[Range].[AI Judge: Comprehensive Rating].[All]" allUniqueName="[Range].[AI Judge: Comprehensive Rating].[All]" dimensionUniqueName="[Range]" displayFolder="" count="0" memberValueDatatype="20" unbalanced="0"/>
    <cacheHierarchy uniqueName="[Range].[AI Judge: Comprehensive Reasoning]" caption="AI Judge: Comprehensive Reasoning" attribute="1" defaultMemberUniqueName="[Range].[AI Judge: Comprehensive Reasoning].[All]" allUniqueName="[Range].[AI Judge: Comprehensive Reason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3"/>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3"/>
        </ext>
      </extLst>
    </cacheHierarchy>
    <cacheHierarchy uniqueName="[Measures].[Distinct Count of ID]" caption="Distinct Count of ID" measure="1" displayFolder="" measureGroup="Range" count="0" oneField="1" hidden="1">
      <fieldsUsage count="1">
        <fieldUsage x="3"/>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97EBD8-19E2-4C64-B683-B061A66A16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8" firstHeaderRow="1" firstDataRow="2" firstDataCol="1" rowPageCount="1" colPageCount="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axis="axisPage" allDrilled="1" subtotalTop="0" showAll="0" dataSourceSort="1" defaultSubtotal="0" defaultAttributeDrillState="1"/>
    <pivotField dataField="1" subtotalTop="0" showAll="0" defaultSubtotal="0"/>
  </pivotFields>
  <rowFields count="1">
    <field x="0"/>
  </rowFields>
  <rowItems count="3">
    <i>
      <x/>
    </i>
    <i>
      <x v="1"/>
    </i>
    <i t="grand">
      <x/>
    </i>
  </rowItems>
  <colFields count="1">
    <field x="1"/>
  </colFields>
  <colItems count="3">
    <i>
      <x/>
    </i>
    <i>
      <x v="1"/>
    </i>
    <i t="grand">
      <x/>
    </i>
  </colItems>
  <pageFields count="1">
    <pageField fld="2" hier="7" name="[Range].[Include irrelevant information? (0 or 1)].[All]" cap="All"/>
  </pageFields>
  <dataFields count="1">
    <dataField name="Distinct Count of ID" fld="3" subtotal="count" baseField="0" baseItem="0">
      <extLst>
        <ext xmlns:x15="http://schemas.microsoft.com/office/spreadsheetml/2010/11/main" uri="{FABC7310-3BB5-11E1-824E-6D434824019B}">
          <x15:dataField isCountDistinct="1"/>
        </ext>
      </extLst>
    </dataField>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caption="Distinct Count of ID"/>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Metrics!$A$1:$M$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A421-E164-43F5-91E3-46E80C4230BB}">
  <dimension ref="A1:D101"/>
  <sheetViews>
    <sheetView showGridLines="0" tabSelected="1" zoomScale="79" zoomScaleNormal="100" workbookViewId="0"/>
  </sheetViews>
  <sheetFormatPr defaultRowHeight="14.5"/>
  <cols>
    <col min="1" max="1" width="53" style="14" customWidth="1"/>
    <col min="2" max="2" width="5.7265625" customWidth="1"/>
    <col min="3" max="3" width="17.81640625" customWidth="1"/>
    <col min="4" max="4" width="95.81640625" style="14" customWidth="1"/>
  </cols>
  <sheetData>
    <row r="1" spans="1:4">
      <c r="A1" s="15" t="s">
        <v>509</v>
      </c>
      <c r="C1" s="1" t="s">
        <v>477</v>
      </c>
      <c r="D1" s="1" t="s">
        <v>0</v>
      </c>
    </row>
    <row r="2" spans="1:4" ht="29">
      <c r="A2" s="14" t="s">
        <v>40</v>
      </c>
      <c r="C2" t="s">
        <v>478</v>
      </c>
      <c r="D2" t="s">
        <v>28</v>
      </c>
    </row>
    <row r="3" spans="1:4">
      <c r="A3" s="14" t="s">
        <v>154</v>
      </c>
      <c r="B3" s="1"/>
      <c r="C3" t="s">
        <v>479</v>
      </c>
      <c r="D3" t="s">
        <v>156</v>
      </c>
    </row>
    <row r="4" spans="1:4" ht="29">
      <c r="A4" s="14" t="s">
        <v>511</v>
      </c>
      <c r="C4" t="s">
        <v>480</v>
      </c>
      <c r="D4" t="s">
        <v>10</v>
      </c>
    </row>
    <row r="5" spans="1:4">
      <c r="A5" s="14" t="s">
        <v>513</v>
      </c>
      <c r="C5" t="s">
        <v>481</v>
      </c>
      <c r="D5" t="s">
        <v>16</v>
      </c>
    </row>
    <row r="6" spans="1:4" ht="16">
      <c r="A6" s="14" t="s">
        <v>60</v>
      </c>
      <c r="C6" s="42" t="s">
        <v>516</v>
      </c>
      <c r="D6" s="43" t="s">
        <v>98</v>
      </c>
    </row>
    <row r="7" spans="1:4">
      <c r="A7" s="14" t="s">
        <v>514</v>
      </c>
    </row>
    <row r="8" spans="1:4">
      <c r="A8" s="14" t="s">
        <v>7</v>
      </c>
    </row>
    <row r="9" spans="1:4">
      <c r="A9" s="14" t="s">
        <v>97</v>
      </c>
    </row>
    <row r="10" spans="1:4">
      <c r="A10" s="14" t="s">
        <v>510</v>
      </c>
    </row>
    <row r="11" spans="1:4">
      <c r="A11" s="14" t="s">
        <v>41</v>
      </c>
    </row>
    <row r="14" spans="1:4">
      <c r="A14" s="15" t="s">
        <v>508</v>
      </c>
    </row>
    <row r="15" spans="1:4">
      <c r="A15" s="18" t="s">
        <v>225</v>
      </c>
    </row>
    <row r="16" spans="1:4">
      <c r="A16" s="14" t="s">
        <v>227</v>
      </c>
    </row>
    <row r="17" spans="1:4" ht="16" customHeight="1">
      <c r="A17" s="14" t="s">
        <v>226</v>
      </c>
    </row>
    <row r="18" spans="1:4" ht="16" customHeight="1">
      <c r="A18" s="14" t="s">
        <v>515</v>
      </c>
    </row>
    <row r="19" spans="1:4">
      <c r="A19" t="s">
        <v>433</v>
      </c>
    </row>
    <row r="27" spans="1:4">
      <c r="A27"/>
      <c r="D27" s="15"/>
    </row>
    <row r="28" spans="1:4" ht="16">
      <c r="A28"/>
      <c r="D28" s="6"/>
    </row>
    <row r="29" spans="1:4" ht="15.5">
      <c r="A29"/>
      <c r="D29" s="11"/>
    </row>
    <row r="30" spans="1:4" ht="15.5">
      <c r="A30"/>
      <c r="D30" s="11"/>
    </row>
    <row r="31" spans="1:4">
      <c r="A31"/>
      <c r="C31" s="42"/>
    </row>
    <row r="32" spans="1:4" ht="16">
      <c r="A32"/>
      <c r="D32" s="6"/>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AF04F-BD1E-4BDF-83B9-BCC86C5E551A}">
  <sheetPr filterMode="1"/>
  <dimension ref="A1:T131"/>
  <sheetViews>
    <sheetView topLeftCell="D1" zoomScale="55" zoomScaleNormal="55" workbookViewId="0">
      <pane ySplit="2" topLeftCell="A3" activePane="bottomLeft" state="frozen"/>
      <selection pane="bottomLeft" activeCell="E44" sqref="E44"/>
    </sheetView>
  </sheetViews>
  <sheetFormatPr defaultColWidth="8.7265625" defaultRowHeight="16"/>
  <cols>
    <col min="1" max="1" width="49.7265625" style="2" customWidth="1"/>
    <col min="2" max="2" width="33.1796875" style="2" customWidth="1"/>
    <col min="3" max="3" width="19.54296875" style="8" customWidth="1"/>
    <col min="4" max="4" width="33" style="2" customWidth="1"/>
    <col min="5" max="5" width="30.81640625" style="2" customWidth="1"/>
    <col min="6" max="6" width="6.26953125" style="17" customWidth="1"/>
    <col min="7" max="7" width="19.54296875" style="26" customWidth="1"/>
    <col min="8" max="8" width="14.453125" style="8" customWidth="1"/>
    <col min="9" max="9" width="15.81640625" style="8" customWidth="1"/>
    <col min="10" max="10" width="15.453125" style="8" customWidth="1"/>
    <col min="11" max="11" width="34.26953125" style="2" customWidth="1"/>
    <col min="12" max="12" width="17.54296875" style="24" customWidth="1"/>
    <col min="13" max="13" width="31" style="2" customWidth="1"/>
    <col min="14" max="14" width="7.81640625" style="24" customWidth="1"/>
    <col min="15" max="15" width="14.1796875" style="8" customWidth="1"/>
    <col min="16" max="16" width="13.81640625" style="8" customWidth="1"/>
    <col min="17" max="18" width="16" style="8" customWidth="1"/>
    <col min="19" max="19" width="11.1796875" style="8" customWidth="1"/>
    <col min="20" max="20" width="68.7265625" style="2" customWidth="1"/>
    <col min="21" max="21" width="8.7265625" style="2"/>
    <col min="22" max="22" width="17.26953125" style="2" customWidth="1"/>
    <col min="23" max="23" width="15.54296875" style="2" customWidth="1"/>
    <col min="24" max="24" width="21.453125" style="2" customWidth="1"/>
    <col min="25" max="25" width="15.54296875" style="2" customWidth="1"/>
    <col min="26" max="16384" width="8.7265625" style="2"/>
  </cols>
  <sheetData>
    <row r="1" spans="1:20" s="6" customFormat="1" ht="49.5" customHeight="1">
      <c r="A1" s="44" t="s">
        <v>0</v>
      </c>
      <c r="B1" s="44" t="s">
        <v>1</v>
      </c>
      <c r="C1" s="44" t="s">
        <v>446</v>
      </c>
      <c r="D1" s="44" t="s">
        <v>4</v>
      </c>
      <c r="E1" s="44" t="s">
        <v>5</v>
      </c>
      <c r="F1" s="45" t="s">
        <v>219</v>
      </c>
      <c r="G1" s="46" t="s">
        <v>138</v>
      </c>
      <c r="H1" s="47" t="s">
        <v>139</v>
      </c>
      <c r="I1" s="47" t="s">
        <v>140</v>
      </c>
      <c r="J1" s="47" t="s">
        <v>141</v>
      </c>
      <c r="K1" s="44" t="s">
        <v>4</v>
      </c>
      <c r="L1" s="44" t="s">
        <v>103</v>
      </c>
      <c r="M1" s="44" t="s">
        <v>5</v>
      </c>
      <c r="N1" s="48" t="s">
        <v>219</v>
      </c>
      <c r="O1" s="47" t="s">
        <v>138</v>
      </c>
      <c r="P1" s="47" t="s">
        <v>139</v>
      </c>
      <c r="Q1" s="47" t="s">
        <v>140</v>
      </c>
      <c r="R1" s="47" t="s">
        <v>141</v>
      </c>
      <c r="S1" s="47" t="s">
        <v>142</v>
      </c>
      <c r="T1" s="49"/>
    </row>
    <row r="2" spans="1:20" s="6" customFormat="1" ht="32">
      <c r="A2" s="3" t="s">
        <v>0</v>
      </c>
      <c r="B2" s="3" t="s">
        <v>1</v>
      </c>
      <c r="C2" s="12" t="s">
        <v>146</v>
      </c>
      <c r="D2" s="3" t="s">
        <v>3</v>
      </c>
      <c r="E2" s="3" t="s">
        <v>3</v>
      </c>
      <c r="F2" s="16" t="s">
        <v>219</v>
      </c>
      <c r="G2" s="12" t="s">
        <v>3</v>
      </c>
      <c r="H2" s="12" t="s">
        <v>3</v>
      </c>
      <c r="I2" s="12" t="s">
        <v>3</v>
      </c>
      <c r="J2" s="12" t="s">
        <v>3</v>
      </c>
      <c r="K2" s="3" t="s">
        <v>2</v>
      </c>
      <c r="L2" s="13" t="s">
        <v>66</v>
      </c>
      <c r="M2" s="3" t="s">
        <v>2</v>
      </c>
      <c r="N2" s="13" t="s">
        <v>219</v>
      </c>
      <c r="O2" s="12" t="s">
        <v>2</v>
      </c>
      <c r="P2" s="12" t="s">
        <v>2</v>
      </c>
      <c r="Q2" s="12" t="s">
        <v>2</v>
      </c>
      <c r="R2" s="12" t="s">
        <v>2</v>
      </c>
      <c r="S2" s="12" t="s">
        <v>2</v>
      </c>
      <c r="T2" s="3" t="s">
        <v>37</v>
      </c>
    </row>
    <row r="3" spans="1:20">
      <c r="A3" s="8" t="s">
        <v>156</v>
      </c>
      <c r="B3" s="8" t="s">
        <v>18</v>
      </c>
      <c r="C3" s="4">
        <v>46113.416666666664</v>
      </c>
      <c r="D3" s="8" t="s">
        <v>167</v>
      </c>
      <c r="E3" s="8" t="s">
        <v>438</v>
      </c>
      <c r="F3" s="17">
        <v>874</v>
      </c>
      <c r="G3" s="26">
        <v>1</v>
      </c>
      <c r="H3" s="8">
        <v>5</v>
      </c>
      <c r="I3" s="8">
        <v>4</v>
      </c>
      <c r="J3" s="8">
        <v>0</v>
      </c>
      <c r="K3" s="8" t="s">
        <v>186</v>
      </c>
      <c r="L3" s="21" t="s">
        <v>66</v>
      </c>
      <c r="M3" s="8" t="s">
        <v>435</v>
      </c>
      <c r="N3" s="17">
        <v>197</v>
      </c>
      <c r="O3" s="8">
        <v>1</v>
      </c>
      <c r="P3" s="8">
        <v>5</v>
      </c>
      <c r="Q3" s="8">
        <v>5</v>
      </c>
      <c r="R3" s="8">
        <v>0</v>
      </c>
      <c r="S3" s="8">
        <v>4</v>
      </c>
      <c r="T3" s="8" t="s">
        <v>157</v>
      </c>
    </row>
    <row r="4" spans="1:20">
      <c r="A4" s="8" t="s">
        <v>156</v>
      </c>
      <c r="B4" s="8" t="s">
        <v>18</v>
      </c>
      <c r="C4" s="4">
        <v>46113.416666666664</v>
      </c>
      <c r="D4" s="8" t="s">
        <v>168</v>
      </c>
      <c r="E4" s="8" t="s">
        <v>439</v>
      </c>
      <c r="F4" s="17">
        <v>947</v>
      </c>
      <c r="G4" s="26">
        <v>1</v>
      </c>
      <c r="H4" s="8">
        <v>3</v>
      </c>
      <c r="I4" s="8">
        <v>3</v>
      </c>
      <c r="J4" s="8">
        <v>1</v>
      </c>
      <c r="K4" s="8" t="s">
        <v>187</v>
      </c>
      <c r="L4" s="21" t="s">
        <v>66</v>
      </c>
      <c r="M4" s="8" t="s">
        <v>435</v>
      </c>
      <c r="N4" s="17">
        <v>561</v>
      </c>
      <c r="O4" s="8">
        <v>1</v>
      </c>
      <c r="P4" s="8">
        <v>5</v>
      </c>
      <c r="Q4" s="8">
        <v>5</v>
      </c>
      <c r="R4" s="8">
        <v>0</v>
      </c>
      <c r="S4" s="8">
        <v>4</v>
      </c>
      <c r="T4" s="8" t="s">
        <v>157</v>
      </c>
    </row>
    <row r="5" spans="1:20">
      <c r="A5" s="8" t="s">
        <v>156</v>
      </c>
      <c r="B5" s="8" t="s">
        <v>18</v>
      </c>
      <c r="C5" s="4">
        <v>46113.416666608799</v>
      </c>
      <c r="D5" s="8" t="s">
        <v>169</v>
      </c>
      <c r="E5" s="8" t="s">
        <v>440</v>
      </c>
      <c r="F5" s="17">
        <v>907</v>
      </c>
      <c r="G5" s="26">
        <v>1</v>
      </c>
      <c r="H5" s="8">
        <v>3</v>
      </c>
      <c r="I5" s="8">
        <v>5</v>
      </c>
      <c r="J5" s="8">
        <v>1</v>
      </c>
      <c r="K5" s="8" t="s">
        <v>188</v>
      </c>
      <c r="L5" s="21" t="s">
        <v>66</v>
      </c>
      <c r="M5" s="8" t="s">
        <v>435</v>
      </c>
      <c r="N5" s="17">
        <v>34</v>
      </c>
      <c r="O5" s="8">
        <v>1</v>
      </c>
      <c r="P5" s="8">
        <v>5</v>
      </c>
      <c r="Q5" s="8">
        <v>5</v>
      </c>
      <c r="R5" s="8">
        <v>0</v>
      </c>
      <c r="S5" s="8">
        <v>4</v>
      </c>
      <c r="T5" s="8" t="s">
        <v>157</v>
      </c>
    </row>
    <row r="6" spans="1:20">
      <c r="A6" s="8" t="s">
        <v>156</v>
      </c>
      <c r="B6" s="8" t="s">
        <v>18</v>
      </c>
      <c r="C6" s="4">
        <v>46113.416666608799</v>
      </c>
      <c r="D6" s="8" t="s">
        <v>170</v>
      </c>
      <c r="E6" s="8" t="s">
        <v>441</v>
      </c>
      <c r="F6" s="17">
        <v>895</v>
      </c>
      <c r="G6" s="26">
        <v>1</v>
      </c>
      <c r="H6" s="8">
        <v>5</v>
      </c>
      <c r="I6" s="8">
        <v>3</v>
      </c>
      <c r="J6" s="8">
        <v>0</v>
      </c>
      <c r="K6" s="8" t="s">
        <v>189</v>
      </c>
      <c r="L6" s="21" t="s">
        <v>66</v>
      </c>
      <c r="M6" s="8" t="s">
        <v>435</v>
      </c>
      <c r="N6" s="17">
        <v>6</v>
      </c>
      <c r="O6" s="8">
        <v>1</v>
      </c>
      <c r="P6" s="8">
        <v>5</v>
      </c>
      <c r="Q6" s="8">
        <v>5</v>
      </c>
      <c r="R6" s="8">
        <v>0</v>
      </c>
      <c r="S6" s="8">
        <v>4</v>
      </c>
      <c r="T6" s="8" t="s">
        <v>157</v>
      </c>
    </row>
    <row r="7" spans="1:20">
      <c r="A7" s="8" t="s">
        <v>156</v>
      </c>
      <c r="B7" s="8" t="s">
        <v>18</v>
      </c>
      <c r="C7" s="4">
        <v>46113.416666608799</v>
      </c>
      <c r="D7" s="8" t="s">
        <v>171</v>
      </c>
      <c r="E7" s="8" t="s">
        <v>442</v>
      </c>
      <c r="F7" s="17">
        <v>711</v>
      </c>
      <c r="G7" s="26">
        <v>0</v>
      </c>
      <c r="H7" s="8">
        <v>3</v>
      </c>
      <c r="I7" s="8">
        <v>2</v>
      </c>
      <c r="J7" s="8">
        <v>0</v>
      </c>
      <c r="K7" s="8" t="s">
        <v>190</v>
      </c>
      <c r="L7" s="21" t="s">
        <v>66</v>
      </c>
      <c r="M7" s="8" t="s">
        <v>435</v>
      </c>
      <c r="N7" s="17">
        <v>607</v>
      </c>
      <c r="O7" s="8">
        <v>1</v>
      </c>
      <c r="P7" s="8">
        <v>5</v>
      </c>
      <c r="Q7" s="8">
        <v>5</v>
      </c>
      <c r="R7" s="8">
        <v>0</v>
      </c>
      <c r="S7" s="8">
        <v>4</v>
      </c>
      <c r="T7" s="8" t="s">
        <v>157</v>
      </c>
    </row>
    <row r="8" spans="1:20">
      <c r="A8" s="8" t="s">
        <v>156</v>
      </c>
      <c r="B8" s="8" t="s">
        <v>18</v>
      </c>
      <c r="C8" s="4">
        <v>46113.416666608799</v>
      </c>
      <c r="D8" s="8" t="s">
        <v>172</v>
      </c>
      <c r="E8" s="8" t="s">
        <v>443</v>
      </c>
      <c r="F8" s="17">
        <v>983</v>
      </c>
      <c r="G8" s="26">
        <v>1</v>
      </c>
      <c r="H8" s="8">
        <v>5</v>
      </c>
      <c r="I8" s="8">
        <v>3</v>
      </c>
      <c r="J8" s="8">
        <v>1</v>
      </c>
      <c r="K8" s="8" t="s">
        <v>191</v>
      </c>
      <c r="L8" s="21" t="s">
        <v>66</v>
      </c>
      <c r="M8" s="8" t="s">
        <v>435</v>
      </c>
      <c r="N8" s="17">
        <v>739</v>
      </c>
      <c r="O8" s="8">
        <v>1</v>
      </c>
      <c r="P8" s="8">
        <v>5</v>
      </c>
      <c r="Q8" s="8">
        <v>5</v>
      </c>
      <c r="R8" s="8">
        <v>0</v>
      </c>
      <c r="S8" s="8">
        <v>4</v>
      </c>
      <c r="T8" s="8" t="s">
        <v>157</v>
      </c>
    </row>
    <row r="9" spans="1:20">
      <c r="A9" s="8" t="s">
        <v>156</v>
      </c>
      <c r="B9" s="8" t="s">
        <v>18</v>
      </c>
      <c r="C9" s="4">
        <v>46113.416666608799</v>
      </c>
      <c r="D9" s="8" t="s">
        <v>173</v>
      </c>
      <c r="E9" s="8" t="s">
        <v>445</v>
      </c>
      <c r="F9" s="17">
        <v>23</v>
      </c>
      <c r="G9" s="26">
        <v>0</v>
      </c>
      <c r="H9" s="8">
        <v>2</v>
      </c>
      <c r="I9" s="8">
        <v>1</v>
      </c>
      <c r="J9" s="8">
        <v>0</v>
      </c>
      <c r="K9" s="8" t="s">
        <v>192</v>
      </c>
      <c r="L9" s="21" t="s">
        <v>66</v>
      </c>
      <c r="M9" s="8" t="s">
        <v>437</v>
      </c>
      <c r="N9" s="17">
        <v>477</v>
      </c>
      <c r="O9" s="8">
        <v>1</v>
      </c>
      <c r="P9" s="8">
        <v>5</v>
      </c>
      <c r="Q9" s="8">
        <v>4</v>
      </c>
      <c r="R9" s="8">
        <v>0</v>
      </c>
      <c r="S9" s="8">
        <v>3</v>
      </c>
      <c r="T9" s="8" t="s">
        <v>157</v>
      </c>
    </row>
    <row r="10" spans="1:20">
      <c r="A10" s="8" t="s">
        <v>156</v>
      </c>
      <c r="B10" s="8" t="s">
        <v>18</v>
      </c>
      <c r="C10" s="4">
        <v>46113.416666608799</v>
      </c>
      <c r="D10" s="8" t="s">
        <v>174</v>
      </c>
      <c r="E10" s="8" t="s">
        <v>447</v>
      </c>
      <c r="F10" s="17">
        <v>81</v>
      </c>
      <c r="G10" s="26">
        <v>1</v>
      </c>
      <c r="H10" s="8">
        <v>3</v>
      </c>
      <c r="I10" s="8">
        <v>3</v>
      </c>
      <c r="J10" s="8">
        <v>1</v>
      </c>
      <c r="K10" s="8" t="s">
        <v>193</v>
      </c>
      <c r="L10" s="21" t="s">
        <v>66</v>
      </c>
      <c r="M10" s="8" t="s">
        <v>435</v>
      </c>
      <c r="N10" s="17">
        <v>649</v>
      </c>
      <c r="O10" s="8">
        <v>1</v>
      </c>
      <c r="P10" s="8">
        <v>5</v>
      </c>
      <c r="Q10" s="8">
        <v>5</v>
      </c>
      <c r="R10" s="8">
        <v>0</v>
      </c>
      <c r="S10" s="8">
        <v>4</v>
      </c>
      <c r="T10" s="8" t="s">
        <v>157</v>
      </c>
    </row>
    <row r="11" spans="1:20">
      <c r="A11" s="8" t="s">
        <v>156</v>
      </c>
      <c r="B11" s="8" t="s">
        <v>18</v>
      </c>
      <c r="C11" s="4">
        <v>46113.416666608799</v>
      </c>
      <c r="D11" s="8" t="s">
        <v>175</v>
      </c>
      <c r="E11" s="8" t="s">
        <v>448</v>
      </c>
      <c r="F11" s="17">
        <v>177</v>
      </c>
      <c r="G11" s="26">
        <v>1</v>
      </c>
      <c r="H11" s="8">
        <v>5</v>
      </c>
      <c r="I11" s="8">
        <v>3</v>
      </c>
      <c r="J11" s="8">
        <v>1</v>
      </c>
      <c r="K11" s="8" t="s">
        <v>194</v>
      </c>
      <c r="L11" s="21" t="s">
        <v>66</v>
      </c>
      <c r="M11" s="8" t="s">
        <v>436</v>
      </c>
      <c r="N11" s="17">
        <v>64</v>
      </c>
      <c r="O11" s="8">
        <v>1</v>
      </c>
      <c r="P11" s="8">
        <v>5</v>
      </c>
      <c r="Q11" s="8">
        <v>5</v>
      </c>
      <c r="R11" s="8">
        <v>0</v>
      </c>
      <c r="S11" s="8">
        <v>1</v>
      </c>
      <c r="T11" s="8" t="s">
        <v>157</v>
      </c>
    </row>
    <row r="12" spans="1:20">
      <c r="A12" s="8" t="s">
        <v>156</v>
      </c>
      <c r="B12" s="8" t="s">
        <v>18</v>
      </c>
      <c r="C12" s="4">
        <v>46113.416666608799</v>
      </c>
      <c r="D12" s="8" t="s">
        <v>176</v>
      </c>
      <c r="E12" s="8" t="s">
        <v>449</v>
      </c>
      <c r="F12" s="17">
        <v>815</v>
      </c>
      <c r="G12" s="26">
        <v>1</v>
      </c>
      <c r="H12" s="8">
        <v>5</v>
      </c>
      <c r="I12" s="8">
        <v>4</v>
      </c>
      <c r="J12" s="8">
        <v>0</v>
      </c>
      <c r="K12" s="8" t="s">
        <v>195</v>
      </c>
      <c r="L12" s="21" t="s">
        <v>66</v>
      </c>
      <c r="M12" s="8" t="s">
        <v>435</v>
      </c>
      <c r="N12" s="17">
        <v>773</v>
      </c>
      <c r="O12" s="8">
        <v>1</v>
      </c>
      <c r="P12" s="8">
        <v>5</v>
      </c>
      <c r="Q12" s="8">
        <v>5</v>
      </c>
      <c r="R12" s="8">
        <v>0</v>
      </c>
      <c r="S12" s="8">
        <v>4</v>
      </c>
      <c r="T12" s="8" t="s">
        <v>157</v>
      </c>
    </row>
    <row r="13" spans="1:20">
      <c r="A13" s="22" t="s">
        <v>16</v>
      </c>
      <c r="B13" s="8" t="s">
        <v>18</v>
      </c>
      <c r="C13" s="4">
        <v>46113.375</v>
      </c>
      <c r="D13" s="4" t="s">
        <v>143</v>
      </c>
      <c r="E13" s="4" t="s">
        <v>451</v>
      </c>
      <c r="F13" s="17">
        <v>883</v>
      </c>
      <c r="G13" s="26">
        <v>1</v>
      </c>
      <c r="H13" s="8">
        <v>5</v>
      </c>
      <c r="I13" s="8">
        <v>5</v>
      </c>
      <c r="J13" s="8">
        <v>0</v>
      </c>
      <c r="K13" s="8" t="s">
        <v>104</v>
      </c>
      <c r="L13" s="21">
        <v>46095</v>
      </c>
      <c r="M13" s="8" t="s">
        <v>215</v>
      </c>
      <c r="N13" s="17">
        <v>70</v>
      </c>
      <c r="O13" s="8">
        <v>1</v>
      </c>
      <c r="P13" s="8">
        <v>5</v>
      </c>
      <c r="Q13" s="8">
        <v>4</v>
      </c>
      <c r="R13" s="8">
        <v>0</v>
      </c>
      <c r="S13" s="8">
        <v>5</v>
      </c>
      <c r="T13" s="8" t="s">
        <v>42</v>
      </c>
    </row>
    <row r="14" spans="1:20">
      <c r="A14" s="22" t="s">
        <v>16</v>
      </c>
      <c r="B14" s="8" t="s">
        <v>18</v>
      </c>
      <c r="C14" s="4">
        <v>46113.375</v>
      </c>
      <c r="D14" s="4" t="s">
        <v>144</v>
      </c>
      <c r="E14" s="4" t="s">
        <v>456</v>
      </c>
      <c r="F14" s="17">
        <v>79</v>
      </c>
      <c r="G14" s="26">
        <v>1</v>
      </c>
      <c r="H14" s="8">
        <v>5</v>
      </c>
      <c r="I14" s="8">
        <v>5</v>
      </c>
      <c r="J14" s="8">
        <v>0</v>
      </c>
      <c r="K14" s="8" t="s">
        <v>214</v>
      </c>
      <c r="L14" s="21">
        <v>46095</v>
      </c>
      <c r="M14" s="8" t="s">
        <v>216</v>
      </c>
      <c r="N14" s="17">
        <v>29</v>
      </c>
      <c r="O14" s="8">
        <v>1</v>
      </c>
      <c r="P14" s="8">
        <v>5</v>
      </c>
      <c r="Q14" s="8">
        <v>3</v>
      </c>
      <c r="R14" s="8">
        <v>0</v>
      </c>
      <c r="S14" s="8">
        <v>2</v>
      </c>
      <c r="T14" s="8" t="s">
        <v>42</v>
      </c>
    </row>
    <row r="15" spans="1:20">
      <c r="A15" s="22" t="s">
        <v>16</v>
      </c>
      <c r="B15" s="8" t="s">
        <v>18</v>
      </c>
      <c r="C15" s="4">
        <v>46113.375</v>
      </c>
      <c r="D15" s="4" t="s">
        <v>145</v>
      </c>
      <c r="E15" s="4" t="s">
        <v>452</v>
      </c>
      <c r="F15" s="17">
        <v>508</v>
      </c>
      <c r="G15" s="26">
        <v>1</v>
      </c>
      <c r="H15" s="8">
        <v>5</v>
      </c>
      <c r="I15" s="8">
        <v>4</v>
      </c>
      <c r="J15" s="8">
        <v>0</v>
      </c>
      <c r="K15" s="8" t="s">
        <v>130</v>
      </c>
      <c r="L15" s="21">
        <v>46095</v>
      </c>
      <c r="M15" s="8" t="s">
        <v>217</v>
      </c>
      <c r="N15" s="17">
        <v>540</v>
      </c>
      <c r="O15" s="8">
        <v>1</v>
      </c>
      <c r="P15" s="8">
        <v>5</v>
      </c>
      <c r="Q15" s="8">
        <v>3</v>
      </c>
      <c r="R15" s="8">
        <v>0</v>
      </c>
      <c r="S15" s="8">
        <v>1</v>
      </c>
      <c r="T15" s="8" t="s">
        <v>42</v>
      </c>
    </row>
    <row r="16" spans="1:20">
      <c r="A16" s="22" t="s">
        <v>16</v>
      </c>
      <c r="B16" s="8" t="s">
        <v>18</v>
      </c>
      <c r="C16" s="4">
        <v>46113.375</v>
      </c>
      <c r="D16" s="4" t="s">
        <v>147</v>
      </c>
      <c r="E16" s="4" t="s">
        <v>454</v>
      </c>
      <c r="F16" s="17">
        <v>4</v>
      </c>
      <c r="G16" s="26">
        <v>1</v>
      </c>
      <c r="H16" s="8">
        <v>5</v>
      </c>
      <c r="I16" s="8">
        <v>5</v>
      </c>
      <c r="J16" s="8">
        <v>1</v>
      </c>
      <c r="K16" s="8" t="s">
        <v>131</v>
      </c>
      <c r="L16" s="21">
        <v>46095</v>
      </c>
      <c r="M16" s="8" t="s">
        <v>218</v>
      </c>
      <c r="N16" s="17">
        <v>386</v>
      </c>
      <c r="O16" s="8">
        <v>1</v>
      </c>
      <c r="P16" s="8">
        <v>5</v>
      </c>
      <c r="Q16" s="8">
        <v>5</v>
      </c>
      <c r="R16" s="8">
        <v>0</v>
      </c>
      <c r="S16" s="8">
        <v>5</v>
      </c>
      <c r="T16" s="8" t="s">
        <v>42</v>
      </c>
    </row>
    <row r="17" spans="1:20">
      <c r="A17" s="22" t="s">
        <v>16</v>
      </c>
      <c r="B17" s="8" t="s">
        <v>18</v>
      </c>
      <c r="C17" s="4">
        <v>46113.375</v>
      </c>
      <c r="D17" s="4" t="s">
        <v>148</v>
      </c>
      <c r="E17" s="4" t="s">
        <v>458</v>
      </c>
      <c r="F17" s="17">
        <v>982</v>
      </c>
      <c r="G17" s="26">
        <v>1</v>
      </c>
      <c r="H17" s="8">
        <v>4</v>
      </c>
      <c r="I17" s="8">
        <v>3</v>
      </c>
      <c r="J17" s="8">
        <v>0</v>
      </c>
      <c r="K17" s="8" t="s">
        <v>132</v>
      </c>
      <c r="L17" s="21">
        <v>46095</v>
      </c>
      <c r="M17" s="8" t="s">
        <v>218</v>
      </c>
      <c r="N17" s="17">
        <v>284</v>
      </c>
      <c r="O17" s="8">
        <v>1</v>
      </c>
      <c r="P17" s="8">
        <v>5</v>
      </c>
      <c r="Q17" s="8">
        <v>5</v>
      </c>
      <c r="R17" s="8">
        <v>0</v>
      </c>
      <c r="S17" s="8">
        <v>5</v>
      </c>
      <c r="T17" s="8" t="s">
        <v>42</v>
      </c>
    </row>
    <row r="18" spans="1:20">
      <c r="A18" s="22" t="s">
        <v>16</v>
      </c>
      <c r="B18" s="8" t="s">
        <v>18</v>
      </c>
      <c r="C18" s="4">
        <v>46113.375</v>
      </c>
      <c r="D18" s="4" t="s">
        <v>149</v>
      </c>
      <c r="E18" s="4" t="s">
        <v>453</v>
      </c>
      <c r="F18" s="17">
        <v>788</v>
      </c>
      <c r="G18" s="26">
        <v>1</v>
      </c>
      <c r="H18" s="8">
        <v>5</v>
      </c>
      <c r="I18" s="8">
        <v>5</v>
      </c>
      <c r="J18" s="8">
        <v>0</v>
      </c>
      <c r="K18" s="8" t="s">
        <v>133</v>
      </c>
      <c r="L18" s="21">
        <v>46095</v>
      </c>
      <c r="M18" s="8" t="s">
        <v>460</v>
      </c>
      <c r="N18" s="17">
        <v>3771</v>
      </c>
      <c r="O18" s="8">
        <v>1</v>
      </c>
      <c r="P18" s="8">
        <v>5</v>
      </c>
      <c r="Q18" s="8">
        <v>5</v>
      </c>
      <c r="R18" s="8">
        <v>0</v>
      </c>
      <c r="S18" s="8">
        <v>4</v>
      </c>
      <c r="T18" s="8" t="s">
        <v>42</v>
      </c>
    </row>
    <row r="19" spans="1:20">
      <c r="A19" s="22" t="s">
        <v>16</v>
      </c>
      <c r="B19" s="8" t="s">
        <v>18</v>
      </c>
      <c r="C19" s="4">
        <v>46113.381944444445</v>
      </c>
      <c r="D19" s="4" t="s">
        <v>150</v>
      </c>
      <c r="E19" s="4" t="s">
        <v>151</v>
      </c>
      <c r="F19" s="17">
        <v>146</v>
      </c>
      <c r="G19" s="26">
        <v>0</v>
      </c>
      <c r="H19" s="26">
        <v>1</v>
      </c>
      <c r="I19" s="26">
        <v>1</v>
      </c>
      <c r="J19" s="26">
        <v>0</v>
      </c>
      <c r="K19" s="8" t="s">
        <v>134</v>
      </c>
      <c r="L19" s="21">
        <v>46095</v>
      </c>
      <c r="M19" s="8" t="s">
        <v>461</v>
      </c>
      <c r="N19" s="17">
        <v>190</v>
      </c>
      <c r="O19" s="8">
        <v>1</v>
      </c>
      <c r="P19" s="8">
        <v>5</v>
      </c>
      <c r="Q19" s="8">
        <v>5</v>
      </c>
      <c r="R19" s="8">
        <v>0</v>
      </c>
      <c r="S19" s="8">
        <v>4</v>
      </c>
      <c r="T19" s="8" t="s">
        <v>42</v>
      </c>
    </row>
    <row r="20" spans="1:20">
      <c r="A20" s="22" t="s">
        <v>16</v>
      </c>
      <c r="B20" s="8" t="s">
        <v>18</v>
      </c>
      <c r="C20" s="4">
        <v>46113.381944444445</v>
      </c>
      <c r="D20" s="4" t="s">
        <v>221</v>
      </c>
      <c r="E20" s="4" t="s">
        <v>152</v>
      </c>
      <c r="F20" s="17">
        <v>104</v>
      </c>
      <c r="G20" s="26">
        <v>0</v>
      </c>
      <c r="H20" s="26">
        <v>1</v>
      </c>
      <c r="I20" s="26">
        <v>1</v>
      </c>
      <c r="J20" s="26">
        <v>0</v>
      </c>
      <c r="K20" s="8" t="s">
        <v>135</v>
      </c>
      <c r="L20" s="21">
        <v>46095</v>
      </c>
      <c r="M20" s="8" t="s">
        <v>459</v>
      </c>
      <c r="N20" s="17">
        <v>462</v>
      </c>
      <c r="O20" s="8">
        <v>1</v>
      </c>
      <c r="P20" s="8">
        <v>5</v>
      </c>
      <c r="Q20" s="8">
        <v>5</v>
      </c>
      <c r="R20" s="8">
        <v>0</v>
      </c>
      <c r="S20" s="8">
        <v>3</v>
      </c>
      <c r="T20" s="8" t="s">
        <v>42</v>
      </c>
    </row>
    <row r="21" spans="1:20">
      <c r="A21" s="22" t="s">
        <v>16</v>
      </c>
      <c r="B21" s="8" t="s">
        <v>18</v>
      </c>
      <c r="C21" s="4">
        <v>46113.381944444445</v>
      </c>
      <c r="D21" s="4" t="s">
        <v>153</v>
      </c>
      <c r="E21" s="4" t="s">
        <v>455</v>
      </c>
      <c r="F21" s="17">
        <v>495</v>
      </c>
      <c r="G21" s="26">
        <v>0</v>
      </c>
      <c r="H21" s="8">
        <v>3</v>
      </c>
      <c r="I21" s="8">
        <v>5</v>
      </c>
      <c r="J21" s="8">
        <v>1</v>
      </c>
      <c r="K21" s="8" t="s">
        <v>136</v>
      </c>
      <c r="L21" s="21">
        <v>46095</v>
      </c>
      <c r="M21" s="8" t="s">
        <v>463</v>
      </c>
      <c r="N21" s="17">
        <v>655</v>
      </c>
      <c r="O21" s="8">
        <v>1</v>
      </c>
      <c r="P21" s="8">
        <v>4</v>
      </c>
      <c r="Q21" s="8">
        <v>5</v>
      </c>
      <c r="R21" s="8">
        <v>1</v>
      </c>
      <c r="S21" s="8">
        <v>3</v>
      </c>
      <c r="T21" s="8" t="s">
        <v>42</v>
      </c>
    </row>
    <row r="22" spans="1:20">
      <c r="A22" s="22" t="s">
        <v>16</v>
      </c>
      <c r="B22" s="8" t="s">
        <v>18</v>
      </c>
      <c r="C22" s="4">
        <v>46113.381944444445</v>
      </c>
      <c r="D22" s="4" t="s">
        <v>155</v>
      </c>
      <c r="E22" s="4" t="s">
        <v>457</v>
      </c>
      <c r="F22" s="17">
        <v>308</v>
      </c>
      <c r="G22" s="26">
        <v>0</v>
      </c>
      <c r="H22" s="8">
        <v>3</v>
      </c>
      <c r="I22" s="8">
        <v>5</v>
      </c>
      <c r="J22" s="8">
        <v>0</v>
      </c>
      <c r="K22" s="8" t="s">
        <v>137</v>
      </c>
      <c r="L22" s="21">
        <v>46113</v>
      </c>
      <c r="M22" s="8" t="s">
        <v>462</v>
      </c>
      <c r="N22" s="17">
        <v>408</v>
      </c>
      <c r="O22" s="8">
        <v>0</v>
      </c>
      <c r="P22" s="8">
        <v>4</v>
      </c>
      <c r="Q22" s="8">
        <v>5</v>
      </c>
      <c r="R22" s="8">
        <v>1</v>
      </c>
      <c r="S22" s="8">
        <v>1</v>
      </c>
      <c r="T22" s="8" t="s">
        <v>42</v>
      </c>
    </row>
    <row r="23" spans="1:20">
      <c r="A23" s="22" t="s">
        <v>28</v>
      </c>
      <c r="B23" s="8" t="s">
        <v>18</v>
      </c>
      <c r="C23" s="4">
        <v>46113.395833333336</v>
      </c>
      <c r="D23" s="8" t="s">
        <v>158</v>
      </c>
      <c r="E23" s="8" t="s">
        <v>202</v>
      </c>
      <c r="F23" s="17">
        <v>295</v>
      </c>
      <c r="G23" s="26">
        <v>1</v>
      </c>
      <c r="H23" s="8">
        <v>5</v>
      </c>
      <c r="I23" s="8">
        <v>3</v>
      </c>
      <c r="J23" s="8">
        <v>0</v>
      </c>
      <c r="K23" s="8" t="s">
        <v>178</v>
      </c>
      <c r="L23" s="21" t="s">
        <v>66</v>
      </c>
      <c r="M23" s="8" t="s">
        <v>199</v>
      </c>
      <c r="N23" s="17">
        <v>255</v>
      </c>
      <c r="O23" s="8">
        <v>1</v>
      </c>
      <c r="P23" s="8">
        <v>5</v>
      </c>
      <c r="Q23" s="8">
        <v>2</v>
      </c>
      <c r="R23" s="8">
        <v>0</v>
      </c>
      <c r="S23" s="8">
        <v>5</v>
      </c>
      <c r="T23" s="8" t="s">
        <v>177</v>
      </c>
    </row>
    <row r="24" spans="1:20">
      <c r="A24" s="22" t="s">
        <v>28</v>
      </c>
      <c r="B24" s="8" t="s">
        <v>18</v>
      </c>
      <c r="C24" s="4">
        <v>46113.395833333336</v>
      </c>
      <c r="D24" s="8" t="s">
        <v>159</v>
      </c>
      <c r="E24" s="8" t="s">
        <v>203</v>
      </c>
      <c r="F24" s="17">
        <v>450</v>
      </c>
      <c r="G24" s="26">
        <v>1</v>
      </c>
      <c r="H24" s="8">
        <v>5</v>
      </c>
      <c r="I24" s="8">
        <v>2</v>
      </c>
      <c r="J24" s="8">
        <v>0</v>
      </c>
      <c r="K24" s="8" t="s">
        <v>179</v>
      </c>
      <c r="L24" s="21" t="s">
        <v>66</v>
      </c>
      <c r="M24" s="8" t="s">
        <v>207</v>
      </c>
      <c r="N24" s="17">
        <v>930</v>
      </c>
      <c r="O24" s="8">
        <v>1</v>
      </c>
      <c r="P24" s="8">
        <v>5</v>
      </c>
      <c r="Q24" s="8">
        <v>5</v>
      </c>
      <c r="R24" s="8">
        <v>0</v>
      </c>
      <c r="S24" s="8">
        <v>5</v>
      </c>
      <c r="T24" s="8" t="s">
        <v>177</v>
      </c>
    </row>
    <row r="25" spans="1:20">
      <c r="A25" s="22" t="s">
        <v>28</v>
      </c>
      <c r="B25" s="8" t="s">
        <v>18</v>
      </c>
      <c r="C25" s="4">
        <v>46113.395833333336</v>
      </c>
      <c r="D25" s="8" t="s">
        <v>160</v>
      </c>
      <c r="E25" s="8" t="s">
        <v>204</v>
      </c>
      <c r="F25" s="17">
        <v>621</v>
      </c>
      <c r="G25" s="26">
        <v>1</v>
      </c>
      <c r="H25" s="8">
        <v>5</v>
      </c>
      <c r="I25" s="8">
        <v>2</v>
      </c>
      <c r="J25" s="8">
        <v>0</v>
      </c>
      <c r="K25" s="8" t="s">
        <v>180</v>
      </c>
      <c r="L25" s="21" t="s">
        <v>66</v>
      </c>
      <c r="M25" s="8" t="s">
        <v>196</v>
      </c>
      <c r="N25" s="17">
        <v>765</v>
      </c>
      <c r="O25" s="8">
        <v>1</v>
      </c>
      <c r="P25" s="8">
        <v>5</v>
      </c>
      <c r="Q25" s="8">
        <v>5</v>
      </c>
      <c r="R25" s="8">
        <v>0</v>
      </c>
      <c r="S25" s="8">
        <v>5</v>
      </c>
      <c r="T25" s="8" t="s">
        <v>177</v>
      </c>
    </row>
    <row r="26" spans="1:20">
      <c r="A26" s="22" t="s">
        <v>28</v>
      </c>
      <c r="B26" s="8" t="s">
        <v>18</v>
      </c>
      <c r="C26" s="4">
        <v>46113.395833333336</v>
      </c>
      <c r="D26" s="8" t="s">
        <v>161</v>
      </c>
      <c r="E26" s="8" t="s">
        <v>205</v>
      </c>
      <c r="F26" s="17">
        <v>366</v>
      </c>
      <c r="G26" s="26">
        <v>1</v>
      </c>
      <c r="H26" s="8">
        <v>5</v>
      </c>
      <c r="I26" s="8">
        <v>5</v>
      </c>
      <c r="J26" s="8">
        <v>0</v>
      </c>
      <c r="K26" s="8" t="s">
        <v>181</v>
      </c>
      <c r="L26" s="21" t="s">
        <v>66</v>
      </c>
      <c r="M26" s="8" t="s">
        <v>197</v>
      </c>
      <c r="N26" s="17">
        <v>3041</v>
      </c>
      <c r="O26" s="8">
        <v>1</v>
      </c>
      <c r="P26" s="8">
        <v>5</v>
      </c>
      <c r="Q26" s="8">
        <v>3</v>
      </c>
      <c r="R26" s="8">
        <v>0</v>
      </c>
      <c r="S26" s="8">
        <v>5</v>
      </c>
      <c r="T26" s="8" t="s">
        <v>177</v>
      </c>
    </row>
    <row r="27" spans="1:20">
      <c r="A27" s="22" t="s">
        <v>28</v>
      </c>
      <c r="B27" s="8" t="s">
        <v>18</v>
      </c>
      <c r="C27" s="4">
        <v>46113.395833333336</v>
      </c>
      <c r="D27" s="8" t="s">
        <v>162</v>
      </c>
      <c r="E27" s="8" t="s">
        <v>209</v>
      </c>
      <c r="F27" s="17">
        <v>286</v>
      </c>
      <c r="G27" s="26">
        <v>1</v>
      </c>
      <c r="H27" s="8">
        <v>5</v>
      </c>
      <c r="I27" s="8">
        <v>4</v>
      </c>
      <c r="J27" s="8">
        <v>0</v>
      </c>
      <c r="K27" s="8" t="s">
        <v>198</v>
      </c>
      <c r="L27" s="21" t="s">
        <v>66</v>
      </c>
      <c r="M27" s="8" t="s">
        <v>210</v>
      </c>
      <c r="N27" s="17">
        <v>968</v>
      </c>
      <c r="O27" s="8">
        <v>1</v>
      </c>
      <c r="P27" s="8">
        <v>5</v>
      </c>
      <c r="Q27" s="8">
        <v>5</v>
      </c>
      <c r="R27" s="8">
        <v>0</v>
      </c>
      <c r="S27" s="8">
        <v>5</v>
      </c>
      <c r="T27" s="8" t="s">
        <v>177</v>
      </c>
    </row>
    <row r="28" spans="1:20">
      <c r="A28" s="22" t="s">
        <v>28</v>
      </c>
      <c r="B28" s="8" t="s">
        <v>18</v>
      </c>
      <c r="C28" s="4">
        <v>46113.395833333336</v>
      </c>
      <c r="D28" s="8" t="s">
        <v>163</v>
      </c>
      <c r="E28" s="8" t="s">
        <v>205</v>
      </c>
      <c r="F28" s="17">
        <v>520</v>
      </c>
      <c r="G28" s="26">
        <v>1</v>
      </c>
      <c r="H28" s="8">
        <v>5</v>
      </c>
      <c r="I28" s="8">
        <v>5</v>
      </c>
      <c r="J28" s="8">
        <v>0</v>
      </c>
      <c r="K28" s="8" t="s">
        <v>182</v>
      </c>
      <c r="L28" s="21" t="s">
        <v>66</v>
      </c>
      <c r="M28" s="8" t="s">
        <v>210</v>
      </c>
      <c r="N28" s="17">
        <v>643</v>
      </c>
      <c r="O28" s="8">
        <v>1</v>
      </c>
      <c r="P28" s="8">
        <v>5</v>
      </c>
      <c r="Q28" s="8">
        <v>5</v>
      </c>
      <c r="R28" s="8">
        <v>0</v>
      </c>
      <c r="S28" s="8">
        <v>5</v>
      </c>
      <c r="T28" s="8" t="s">
        <v>177</v>
      </c>
    </row>
    <row r="29" spans="1:20">
      <c r="A29" s="22" t="s">
        <v>28</v>
      </c>
      <c r="B29" s="8" t="s">
        <v>18</v>
      </c>
      <c r="C29" s="4">
        <v>46113.395833333336</v>
      </c>
      <c r="D29" s="8" t="s">
        <v>164</v>
      </c>
      <c r="E29" s="8" t="s">
        <v>211</v>
      </c>
      <c r="F29" s="17">
        <v>906</v>
      </c>
      <c r="G29" s="26">
        <v>1</v>
      </c>
      <c r="H29" s="8">
        <v>5</v>
      </c>
      <c r="I29" s="8">
        <v>3</v>
      </c>
      <c r="J29" s="8">
        <v>0</v>
      </c>
      <c r="K29" s="8" t="s">
        <v>183</v>
      </c>
      <c r="L29" s="21" t="s">
        <v>66</v>
      </c>
      <c r="M29" s="8" t="s">
        <v>206</v>
      </c>
      <c r="N29" s="17">
        <v>750</v>
      </c>
      <c r="O29" s="8">
        <v>1</v>
      </c>
      <c r="P29" s="8">
        <v>5</v>
      </c>
      <c r="Q29" s="8">
        <v>3</v>
      </c>
      <c r="R29" s="8">
        <v>0</v>
      </c>
      <c r="S29" s="8">
        <v>5</v>
      </c>
      <c r="T29" s="8" t="s">
        <v>177</v>
      </c>
    </row>
    <row r="30" spans="1:20">
      <c r="A30" s="22" t="s">
        <v>28</v>
      </c>
      <c r="B30" s="8" t="s">
        <v>18</v>
      </c>
      <c r="C30" s="4">
        <v>46113.395833333336</v>
      </c>
      <c r="D30" s="8" t="s">
        <v>165</v>
      </c>
      <c r="E30" s="8" t="s">
        <v>205</v>
      </c>
      <c r="F30" s="17">
        <v>396</v>
      </c>
      <c r="G30" s="26">
        <v>1</v>
      </c>
      <c r="H30" s="8">
        <v>5</v>
      </c>
      <c r="I30" s="8">
        <v>5</v>
      </c>
      <c r="J30" s="8">
        <v>0</v>
      </c>
      <c r="K30" s="8" t="s">
        <v>184</v>
      </c>
      <c r="L30" s="21" t="s">
        <v>66</v>
      </c>
      <c r="M30" s="8" t="s">
        <v>200</v>
      </c>
      <c r="N30" s="17">
        <v>8991</v>
      </c>
      <c r="O30" s="8">
        <v>1</v>
      </c>
      <c r="P30" s="8">
        <v>5</v>
      </c>
      <c r="Q30" s="8">
        <v>4</v>
      </c>
      <c r="R30" s="8">
        <v>0</v>
      </c>
      <c r="S30" s="8">
        <v>5</v>
      </c>
      <c r="T30" s="8" t="s">
        <v>177</v>
      </c>
    </row>
    <row r="31" spans="1:20">
      <c r="A31" s="22" t="s">
        <v>28</v>
      </c>
      <c r="B31" s="8" t="s">
        <v>18</v>
      </c>
      <c r="C31" s="4">
        <v>46113.395833333336</v>
      </c>
      <c r="D31" s="8" t="s">
        <v>166</v>
      </c>
      <c r="E31" s="8" t="s">
        <v>208</v>
      </c>
      <c r="F31" s="17">
        <v>560</v>
      </c>
      <c r="G31" s="26">
        <v>1</v>
      </c>
      <c r="H31" s="8">
        <v>5</v>
      </c>
      <c r="I31" s="8">
        <v>4</v>
      </c>
      <c r="J31" s="8">
        <v>0</v>
      </c>
      <c r="K31" s="8" t="s">
        <v>185</v>
      </c>
      <c r="L31" s="21" t="s">
        <v>66</v>
      </c>
      <c r="M31" s="8" t="s">
        <v>210</v>
      </c>
      <c r="N31" s="17">
        <v>856</v>
      </c>
      <c r="O31" s="8">
        <v>1</v>
      </c>
      <c r="P31" s="8">
        <v>5</v>
      </c>
      <c r="Q31" s="8">
        <v>5</v>
      </c>
      <c r="R31" s="8">
        <v>0</v>
      </c>
      <c r="S31" s="8">
        <v>5</v>
      </c>
      <c r="T31" s="8" t="s">
        <v>177</v>
      </c>
    </row>
    <row r="32" spans="1:20">
      <c r="A32" s="22" t="s">
        <v>28</v>
      </c>
      <c r="B32" s="8" t="s">
        <v>18</v>
      </c>
      <c r="C32" s="4">
        <v>46096</v>
      </c>
      <c r="D32" s="8" t="s">
        <v>212</v>
      </c>
      <c r="E32" s="8" t="s">
        <v>213</v>
      </c>
      <c r="F32" s="17">
        <v>571</v>
      </c>
      <c r="G32" s="26">
        <v>1</v>
      </c>
      <c r="H32" s="8">
        <v>5</v>
      </c>
      <c r="I32" s="8">
        <v>5</v>
      </c>
      <c r="J32" s="8">
        <v>0</v>
      </c>
      <c r="K32" s="8" t="s">
        <v>29</v>
      </c>
      <c r="L32" s="21" t="s">
        <v>66</v>
      </c>
      <c r="M32" s="8" t="s">
        <v>201</v>
      </c>
      <c r="N32" s="17">
        <v>9831</v>
      </c>
      <c r="O32" s="8">
        <v>1</v>
      </c>
      <c r="P32" s="8">
        <v>5</v>
      </c>
      <c r="Q32" s="8">
        <v>4</v>
      </c>
      <c r="R32" s="8">
        <v>0</v>
      </c>
      <c r="S32" s="8">
        <v>2</v>
      </c>
      <c r="T32" s="8" t="s">
        <v>177</v>
      </c>
    </row>
    <row r="33" spans="1:20">
      <c r="A33" s="8" t="s">
        <v>98</v>
      </c>
      <c r="B33" s="8" t="s">
        <v>18</v>
      </c>
      <c r="C33" s="4">
        <v>46113.291666666664</v>
      </c>
      <c r="D33" s="8" t="s">
        <v>107</v>
      </c>
      <c r="E33" s="8" t="s">
        <v>101</v>
      </c>
      <c r="F33" s="27">
        <v>377</v>
      </c>
      <c r="K33" s="8" t="s">
        <v>117</v>
      </c>
      <c r="L33" s="21" t="s">
        <v>66</v>
      </c>
      <c r="M33" s="8"/>
      <c r="N33" s="27">
        <v>734</v>
      </c>
      <c r="T33" s="8" t="s">
        <v>512</v>
      </c>
    </row>
    <row r="34" spans="1:20">
      <c r="A34" s="8" t="s">
        <v>98</v>
      </c>
      <c r="B34" s="8" t="s">
        <v>18</v>
      </c>
      <c r="C34" s="4">
        <v>46113.291666666664</v>
      </c>
      <c r="D34" s="8" t="s">
        <v>108</v>
      </c>
      <c r="E34" s="8" t="s">
        <v>102</v>
      </c>
      <c r="F34" s="27">
        <v>390</v>
      </c>
      <c r="K34" s="8" t="s">
        <v>122</v>
      </c>
      <c r="L34" s="21" t="s">
        <v>66</v>
      </c>
      <c r="M34" s="8"/>
      <c r="N34" s="27">
        <v>350</v>
      </c>
      <c r="T34" s="8" t="s">
        <v>512</v>
      </c>
    </row>
    <row r="35" spans="1:20">
      <c r="A35" s="8" t="s">
        <v>98</v>
      </c>
      <c r="B35" s="8" t="s">
        <v>18</v>
      </c>
      <c r="C35" s="4">
        <v>46113.291666608799</v>
      </c>
      <c r="D35" s="8" t="s">
        <v>467</v>
      </c>
      <c r="E35" s="8"/>
      <c r="F35" s="27">
        <v>298</v>
      </c>
      <c r="K35" s="8" t="s">
        <v>116</v>
      </c>
      <c r="L35" s="21" t="s">
        <v>66</v>
      </c>
      <c r="M35" s="8" t="s">
        <v>464</v>
      </c>
      <c r="N35" s="27">
        <v>776</v>
      </c>
      <c r="T35" s="8" t="s">
        <v>512</v>
      </c>
    </row>
    <row r="36" spans="1:20">
      <c r="A36" s="23" t="s">
        <v>98</v>
      </c>
      <c r="B36" s="8" t="s">
        <v>18</v>
      </c>
      <c r="C36" s="4">
        <v>46113.291666608799</v>
      </c>
      <c r="D36" s="8" t="s">
        <v>110</v>
      </c>
      <c r="E36" s="8" t="s">
        <v>465</v>
      </c>
      <c r="F36" s="27">
        <v>236</v>
      </c>
      <c r="G36" s="26">
        <v>1</v>
      </c>
      <c r="H36" s="8">
        <v>5</v>
      </c>
      <c r="I36" s="8">
        <v>3</v>
      </c>
      <c r="J36" s="8">
        <v>0</v>
      </c>
      <c r="K36" s="8" t="s">
        <v>118</v>
      </c>
      <c r="L36" s="21" t="s">
        <v>66</v>
      </c>
      <c r="M36" s="8"/>
      <c r="N36" s="27">
        <v>973</v>
      </c>
      <c r="T36" s="8" t="s">
        <v>512</v>
      </c>
    </row>
    <row r="37" spans="1:20">
      <c r="A37" s="8" t="s">
        <v>98</v>
      </c>
      <c r="B37" s="8" t="s">
        <v>18</v>
      </c>
      <c r="C37" s="4">
        <v>46113.354166666664</v>
      </c>
      <c r="D37" s="8" t="s">
        <v>111</v>
      </c>
      <c r="E37" s="8"/>
      <c r="F37" s="27">
        <v>304</v>
      </c>
      <c r="K37" s="8" t="s">
        <v>123</v>
      </c>
      <c r="L37" s="21" t="s">
        <v>66</v>
      </c>
      <c r="M37" s="8"/>
      <c r="N37" s="27">
        <v>572</v>
      </c>
      <c r="T37" s="8" t="s">
        <v>512</v>
      </c>
    </row>
    <row r="38" spans="1:20">
      <c r="A38" s="8" t="s">
        <v>98</v>
      </c>
      <c r="B38" s="8" t="s">
        <v>18</v>
      </c>
      <c r="C38" s="4">
        <v>46113.354166666664</v>
      </c>
      <c r="D38" s="8" t="s">
        <v>112</v>
      </c>
      <c r="E38" s="8"/>
      <c r="F38" s="27">
        <v>691</v>
      </c>
      <c r="K38" s="8" t="s">
        <v>124</v>
      </c>
      <c r="L38" s="21" t="s">
        <v>66</v>
      </c>
      <c r="M38" s="8"/>
      <c r="N38" s="27">
        <v>681</v>
      </c>
      <c r="T38" s="8" t="s">
        <v>512</v>
      </c>
    </row>
    <row r="39" spans="1:20">
      <c r="A39" s="8" t="s">
        <v>98</v>
      </c>
      <c r="B39" s="8" t="s">
        <v>18</v>
      </c>
      <c r="C39" s="4">
        <v>46113.354166666664</v>
      </c>
      <c r="D39" s="8" t="s">
        <v>113</v>
      </c>
      <c r="E39" s="8"/>
      <c r="F39" s="27">
        <v>548</v>
      </c>
      <c r="K39" s="8" t="s">
        <v>468</v>
      </c>
      <c r="L39" s="21" t="s">
        <v>66</v>
      </c>
      <c r="M39" s="8" t="s">
        <v>125</v>
      </c>
      <c r="N39" s="27">
        <v>929</v>
      </c>
      <c r="O39" s="8">
        <v>0</v>
      </c>
      <c r="P39" s="8">
        <v>1</v>
      </c>
      <c r="Q39" s="8">
        <v>1</v>
      </c>
      <c r="R39" s="8">
        <v>0</v>
      </c>
      <c r="S39" s="8">
        <v>1</v>
      </c>
      <c r="T39" s="8" t="s">
        <v>512</v>
      </c>
    </row>
    <row r="40" spans="1:20">
      <c r="A40" s="8" t="s">
        <v>98</v>
      </c>
      <c r="B40" s="8" t="s">
        <v>18</v>
      </c>
      <c r="C40" s="4">
        <v>46113.354166666664</v>
      </c>
      <c r="D40" s="8" t="s">
        <v>466</v>
      </c>
      <c r="E40" s="8"/>
      <c r="F40" s="27">
        <v>806</v>
      </c>
      <c r="K40" s="8" t="s">
        <v>126</v>
      </c>
      <c r="L40" s="21" t="s">
        <v>66</v>
      </c>
      <c r="M40" s="8" t="s">
        <v>106</v>
      </c>
      <c r="N40" s="27">
        <v>253</v>
      </c>
      <c r="T40" s="8" t="s">
        <v>512</v>
      </c>
    </row>
    <row r="41" spans="1:20">
      <c r="A41" s="8" t="s">
        <v>98</v>
      </c>
      <c r="B41" s="8" t="s">
        <v>18</v>
      </c>
      <c r="C41" s="4">
        <v>46113.354166666664</v>
      </c>
      <c r="D41" s="8" t="s">
        <v>115</v>
      </c>
      <c r="E41" s="8"/>
      <c r="F41" s="27">
        <v>559</v>
      </c>
      <c r="K41" s="8" t="s">
        <v>127</v>
      </c>
      <c r="L41" s="21" t="s">
        <v>66</v>
      </c>
      <c r="M41" s="8" t="s">
        <v>128</v>
      </c>
      <c r="N41" s="27">
        <v>357</v>
      </c>
      <c r="T41" s="8" t="s">
        <v>512</v>
      </c>
    </row>
    <row r="42" spans="1:20">
      <c r="A42" s="8" t="s">
        <v>98</v>
      </c>
      <c r="B42" s="8" t="s">
        <v>18</v>
      </c>
      <c r="C42" s="4">
        <v>46113.354166666664</v>
      </c>
      <c r="D42" s="8" t="s">
        <v>223</v>
      </c>
      <c r="E42" s="8"/>
      <c r="F42" s="27">
        <v>480</v>
      </c>
      <c r="K42" s="8" t="s">
        <v>129</v>
      </c>
      <c r="L42" s="21" t="s">
        <v>66</v>
      </c>
      <c r="M42" s="8"/>
      <c r="N42" s="27">
        <v>674</v>
      </c>
      <c r="T42" s="8" t="s">
        <v>512</v>
      </c>
    </row>
    <row r="43" spans="1:20">
      <c r="A43" s="8" t="s">
        <v>10</v>
      </c>
      <c r="B43" s="8" t="s">
        <v>18</v>
      </c>
      <c r="C43" s="4">
        <v>46095.708333333336</v>
      </c>
      <c r="D43" s="8" t="s">
        <v>25</v>
      </c>
      <c r="E43" s="8" t="s">
        <v>83</v>
      </c>
      <c r="F43" s="17">
        <v>791</v>
      </c>
      <c r="G43" s="26">
        <v>0</v>
      </c>
      <c r="H43" s="8">
        <v>2</v>
      </c>
      <c r="I43" s="8">
        <v>4</v>
      </c>
      <c r="J43" s="8">
        <v>0</v>
      </c>
      <c r="K43" s="8" t="s">
        <v>24</v>
      </c>
      <c r="L43" s="21" t="s">
        <v>66</v>
      </c>
      <c r="M43" s="8" t="s">
        <v>444</v>
      </c>
      <c r="N43" s="17">
        <v>216</v>
      </c>
      <c r="O43" s="8">
        <v>1</v>
      </c>
      <c r="P43" s="8">
        <v>3</v>
      </c>
      <c r="Q43" s="8">
        <v>1</v>
      </c>
      <c r="R43" s="8">
        <v>0</v>
      </c>
      <c r="S43" s="8">
        <v>1</v>
      </c>
      <c r="T43" s="8" t="s">
        <v>96</v>
      </c>
    </row>
    <row r="44" spans="1:20">
      <c r="A44" s="8" t="s">
        <v>10</v>
      </c>
      <c r="B44" s="8" t="s">
        <v>18</v>
      </c>
      <c r="C44" s="4">
        <v>46095</v>
      </c>
      <c r="D44" s="8" t="s">
        <v>79</v>
      </c>
      <c r="E44" s="8" t="s">
        <v>81</v>
      </c>
      <c r="F44" s="17">
        <v>20</v>
      </c>
      <c r="G44" s="26">
        <v>0</v>
      </c>
      <c r="H44" s="8">
        <v>2</v>
      </c>
      <c r="I44" s="8">
        <v>5</v>
      </c>
      <c r="J44" s="8">
        <v>1</v>
      </c>
      <c r="K44" s="8" t="s">
        <v>35</v>
      </c>
      <c r="L44" s="21" t="s">
        <v>66</v>
      </c>
      <c r="M44" s="8" t="s">
        <v>26</v>
      </c>
      <c r="N44" s="17">
        <v>140</v>
      </c>
      <c r="O44" s="8">
        <v>0</v>
      </c>
      <c r="P44" s="8">
        <v>1</v>
      </c>
      <c r="Q44" s="8">
        <v>1</v>
      </c>
      <c r="R44" s="8">
        <v>0</v>
      </c>
      <c r="S44" s="8">
        <v>1</v>
      </c>
      <c r="T44" s="8" t="s">
        <v>96</v>
      </c>
    </row>
    <row r="45" spans="1:20">
      <c r="A45" s="8" t="s">
        <v>10</v>
      </c>
      <c r="B45" s="8" t="s">
        <v>18</v>
      </c>
      <c r="C45" s="4">
        <v>46095.75</v>
      </c>
      <c r="D45" s="8" t="s">
        <v>222</v>
      </c>
      <c r="E45" s="8" t="s">
        <v>82</v>
      </c>
      <c r="F45" s="17">
        <v>676</v>
      </c>
      <c r="G45" s="26">
        <v>0</v>
      </c>
      <c r="H45" s="8">
        <v>2</v>
      </c>
      <c r="I45" s="8">
        <v>5</v>
      </c>
      <c r="J45" s="8">
        <v>0</v>
      </c>
      <c r="K45" s="8" t="s">
        <v>34</v>
      </c>
      <c r="L45" s="21" t="s">
        <v>66</v>
      </c>
      <c r="M45" s="8" t="s">
        <v>36</v>
      </c>
      <c r="N45" s="17">
        <v>395</v>
      </c>
      <c r="O45" s="8">
        <v>1</v>
      </c>
      <c r="P45" s="8">
        <v>5</v>
      </c>
      <c r="Q45" s="8">
        <v>5</v>
      </c>
      <c r="R45" s="8">
        <v>0</v>
      </c>
      <c r="S45" s="8">
        <v>5</v>
      </c>
      <c r="T45" s="8" t="s">
        <v>96</v>
      </c>
    </row>
    <row r="46" spans="1:20">
      <c r="A46" s="8" t="s">
        <v>10</v>
      </c>
      <c r="B46" s="8" t="s">
        <v>18</v>
      </c>
      <c r="C46" s="4">
        <v>46098.166666666664</v>
      </c>
      <c r="D46" s="8" t="s">
        <v>85</v>
      </c>
      <c r="E46" s="8" t="s">
        <v>84</v>
      </c>
      <c r="F46" s="17">
        <v>938</v>
      </c>
      <c r="G46" s="26">
        <v>0</v>
      </c>
      <c r="H46" s="8">
        <v>2</v>
      </c>
      <c r="I46" s="8">
        <v>5</v>
      </c>
      <c r="J46" s="8">
        <v>1</v>
      </c>
      <c r="K46" s="8" t="s">
        <v>67</v>
      </c>
      <c r="L46" s="21" t="s">
        <v>66</v>
      </c>
      <c r="M46" s="8" t="s">
        <v>68</v>
      </c>
      <c r="N46" s="17">
        <v>740</v>
      </c>
      <c r="O46" s="8">
        <v>1</v>
      </c>
      <c r="P46" s="8">
        <v>5</v>
      </c>
      <c r="Q46" s="8">
        <v>4</v>
      </c>
      <c r="R46" s="8">
        <v>0</v>
      </c>
      <c r="S46" s="8">
        <v>5</v>
      </c>
      <c r="T46" s="8" t="s">
        <v>96</v>
      </c>
    </row>
    <row r="47" spans="1:20">
      <c r="A47" s="8" t="s">
        <v>10</v>
      </c>
      <c r="B47" s="8" t="s">
        <v>18</v>
      </c>
      <c r="C47" s="4">
        <v>46098.166666666664</v>
      </c>
      <c r="D47" s="8" t="s">
        <v>87</v>
      </c>
      <c r="E47" s="8" t="s">
        <v>86</v>
      </c>
      <c r="F47" s="17">
        <v>855</v>
      </c>
      <c r="G47" s="26">
        <v>1</v>
      </c>
      <c r="H47" s="8">
        <v>5</v>
      </c>
      <c r="I47" s="8">
        <v>5</v>
      </c>
      <c r="J47" s="8">
        <v>0</v>
      </c>
      <c r="K47" s="8" t="s">
        <v>70</v>
      </c>
      <c r="L47" s="21" t="s">
        <v>66</v>
      </c>
      <c r="M47" s="8" t="s">
        <v>69</v>
      </c>
      <c r="N47" s="17">
        <v>231</v>
      </c>
      <c r="O47" s="8">
        <v>1</v>
      </c>
      <c r="P47" s="8">
        <v>5</v>
      </c>
      <c r="Q47" s="8">
        <v>5</v>
      </c>
      <c r="R47" s="8">
        <v>0</v>
      </c>
      <c r="S47" s="8">
        <v>5</v>
      </c>
      <c r="T47" s="8" t="s">
        <v>96</v>
      </c>
    </row>
    <row r="48" spans="1:20">
      <c r="A48" s="8" t="s">
        <v>10</v>
      </c>
      <c r="B48" s="8" t="s">
        <v>18</v>
      </c>
      <c r="C48" s="4">
        <v>46098.166666666664</v>
      </c>
      <c r="D48" s="8" t="s">
        <v>89</v>
      </c>
      <c r="E48" s="8" t="s">
        <v>88</v>
      </c>
      <c r="F48" s="17">
        <v>899</v>
      </c>
      <c r="G48" s="26">
        <v>0</v>
      </c>
      <c r="H48" s="8">
        <v>2</v>
      </c>
      <c r="I48" s="8">
        <v>5</v>
      </c>
      <c r="J48" s="8">
        <v>0</v>
      </c>
      <c r="K48" s="8" t="s">
        <v>72</v>
      </c>
      <c r="L48" s="21" t="s">
        <v>66</v>
      </c>
      <c r="M48" s="8" t="s">
        <v>71</v>
      </c>
      <c r="N48" s="17">
        <v>346</v>
      </c>
      <c r="O48" s="8">
        <v>1</v>
      </c>
      <c r="P48" s="8">
        <v>5</v>
      </c>
      <c r="Q48" s="8">
        <v>5</v>
      </c>
      <c r="R48" s="8">
        <v>0</v>
      </c>
      <c r="S48" s="8">
        <v>5</v>
      </c>
      <c r="T48" s="8" t="s">
        <v>96</v>
      </c>
    </row>
    <row r="49" spans="1:20">
      <c r="A49" s="8" t="s">
        <v>10</v>
      </c>
      <c r="B49" s="8" t="s">
        <v>18</v>
      </c>
      <c r="C49" s="4">
        <v>46098.166666666664</v>
      </c>
      <c r="D49" s="8" t="s">
        <v>91</v>
      </c>
      <c r="E49" s="8" t="s">
        <v>90</v>
      </c>
      <c r="F49" s="17">
        <v>157</v>
      </c>
      <c r="G49" s="26">
        <v>0</v>
      </c>
      <c r="H49" s="8">
        <v>3</v>
      </c>
      <c r="I49" s="8">
        <v>5</v>
      </c>
      <c r="J49" s="8">
        <v>0</v>
      </c>
      <c r="K49" s="8" t="s">
        <v>224</v>
      </c>
      <c r="L49" s="21">
        <v>46120.541666666664</v>
      </c>
      <c r="M49" s="8" t="s">
        <v>74</v>
      </c>
      <c r="N49" s="17">
        <v>343</v>
      </c>
      <c r="O49" s="8">
        <v>1</v>
      </c>
      <c r="P49" s="8">
        <v>5</v>
      </c>
      <c r="Q49" s="8">
        <v>5</v>
      </c>
      <c r="R49" s="8">
        <v>0</v>
      </c>
      <c r="S49" s="8">
        <v>5</v>
      </c>
      <c r="T49" s="8" t="s">
        <v>96</v>
      </c>
    </row>
    <row r="50" spans="1:20">
      <c r="A50" s="8" t="s">
        <v>10</v>
      </c>
      <c r="B50" s="8" t="s">
        <v>18</v>
      </c>
      <c r="C50" s="4">
        <v>46098.166666666664</v>
      </c>
      <c r="D50" s="8" t="s">
        <v>93</v>
      </c>
      <c r="E50" s="8" t="s">
        <v>92</v>
      </c>
      <c r="F50" s="17">
        <v>805</v>
      </c>
      <c r="G50" s="26">
        <v>0</v>
      </c>
      <c r="H50" s="8">
        <v>3</v>
      </c>
      <c r="I50" s="8">
        <v>5</v>
      </c>
      <c r="J50" s="8">
        <v>0</v>
      </c>
      <c r="K50" s="8" t="s">
        <v>73</v>
      </c>
      <c r="L50" s="21" t="s">
        <v>66</v>
      </c>
      <c r="M50" s="8" t="s">
        <v>74</v>
      </c>
      <c r="N50" s="17">
        <v>315</v>
      </c>
      <c r="O50" s="8">
        <v>1</v>
      </c>
      <c r="P50" s="8">
        <v>5</v>
      </c>
      <c r="Q50" s="8">
        <v>5</v>
      </c>
      <c r="R50" s="8">
        <v>0</v>
      </c>
      <c r="S50" s="8">
        <v>5</v>
      </c>
      <c r="T50" s="8" t="s">
        <v>96</v>
      </c>
    </row>
    <row r="51" spans="1:20">
      <c r="A51" s="8" t="s">
        <v>10</v>
      </c>
      <c r="B51" s="8" t="s">
        <v>18</v>
      </c>
      <c r="C51" s="4">
        <v>46098.166666666664</v>
      </c>
      <c r="D51" s="8" t="s">
        <v>95</v>
      </c>
      <c r="E51" s="8" t="s">
        <v>94</v>
      </c>
      <c r="F51" s="17">
        <v>503</v>
      </c>
      <c r="G51" s="26">
        <v>1</v>
      </c>
      <c r="H51" s="8">
        <v>5</v>
      </c>
      <c r="I51" s="8">
        <v>5</v>
      </c>
      <c r="J51" s="8">
        <v>0</v>
      </c>
      <c r="K51" s="8" t="s">
        <v>76</v>
      </c>
      <c r="L51" s="21" t="s">
        <v>66</v>
      </c>
      <c r="M51" s="8" t="s">
        <v>75</v>
      </c>
      <c r="N51" s="17">
        <v>838</v>
      </c>
      <c r="O51" s="8">
        <v>1</v>
      </c>
      <c r="P51" s="8">
        <v>5</v>
      </c>
      <c r="Q51" s="8">
        <v>4</v>
      </c>
      <c r="R51" s="8">
        <v>0</v>
      </c>
      <c r="S51" s="8">
        <v>5</v>
      </c>
      <c r="T51" s="8" t="s">
        <v>96</v>
      </c>
    </row>
    <row r="52" spans="1:20">
      <c r="A52" s="8" t="s">
        <v>10</v>
      </c>
      <c r="B52" s="8" t="s">
        <v>18</v>
      </c>
      <c r="C52" s="4">
        <v>46098.166666666664</v>
      </c>
      <c r="D52" s="8" t="s">
        <v>220</v>
      </c>
      <c r="E52" s="8" t="s">
        <v>81</v>
      </c>
      <c r="F52" s="17">
        <v>646</v>
      </c>
      <c r="G52" s="26">
        <v>0</v>
      </c>
      <c r="H52" s="8">
        <v>2</v>
      </c>
      <c r="I52" s="8">
        <v>5</v>
      </c>
      <c r="J52" s="8">
        <v>1</v>
      </c>
      <c r="K52" s="8" t="s">
        <v>77</v>
      </c>
      <c r="L52" s="21" t="s">
        <v>66</v>
      </c>
      <c r="M52" s="8" t="s">
        <v>78</v>
      </c>
      <c r="N52" s="17">
        <v>400</v>
      </c>
      <c r="O52" s="8">
        <v>1</v>
      </c>
      <c r="P52" s="8">
        <v>5</v>
      </c>
      <c r="Q52" s="8">
        <v>5</v>
      </c>
      <c r="R52" s="8">
        <v>0</v>
      </c>
      <c r="S52" s="8">
        <v>5</v>
      </c>
      <c r="T52" s="8" t="s">
        <v>96</v>
      </c>
    </row>
    <row r="53" spans="1:20" ht="80" hidden="1">
      <c r="A53" s="2" t="s">
        <v>6</v>
      </c>
      <c r="B53" s="2" t="s">
        <v>18</v>
      </c>
      <c r="C53" s="4">
        <v>46095</v>
      </c>
      <c r="D53" s="2" t="s">
        <v>52</v>
      </c>
      <c r="E53" s="6" t="s">
        <v>58</v>
      </c>
      <c r="F53" s="17">
        <v>807</v>
      </c>
      <c r="G53" s="8"/>
      <c r="H53" s="8">
        <v>5</v>
      </c>
      <c r="K53" s="2" t="s">
        <v>121</v>
      </c>
      <c r="L53" s="5" t="s">
        <v>66</v>
      </c>
      <c r="M53" s="6" t="s">
        <v>59</v>
      </c>
      <c r="N53" s="17">
        <v>966</v>
      </c>
      <c r="O53" s="10"/>
      <c r="P53" s="10">
        <v>4</v>
      </c>
      <c r="Q53" s="10"/>
      <c r="R53" s="10"/>
      <c r="S53" s="10"/>
      <c r="T53" s="2" t="s">
        <v>99</v>
      </c>
    </row>
    <row r="54" spans="1:20" ht="32" hidden="1">
      <c r="A54" s="2" t="s">
        <v>6</v>
      </c>
      <c r="B54" s="2" t="s">
        <v>18</v>
      </c>
      <c r="C54" s="4">
        <v>46095.833333333336</v>
      </c>
      <c r="E54" s="6"/>
      <c r="F54" s="17">
        <v>840</v>
      </c>
      <c r="G54" s="8"/>
      <c r="K54" s="2" t="s">
        <v>120</v>
      </c>
      <c r="L54" s="5" t="s">
        <v>66</v>
      </c>
      <c r="M54" s="6" t="s">
        <v>63</v>
      </c>
      <c r="N54" s="17">
        <v>296</v>
      </c>
      <c r="O54" s="10"/>
      <c r="P54" s="10">
        <v>4</v>
      </c>
      <c r="Q54" s="10"/>
      <c r="R54" s="10"/>
      <c r="S54" s="10"/>
      <c r="T54" s="2" t="s">
        <v>99</v>
      </c>
    </row>
    <row r="55" spans="1:20" hidden="1">
      <c r="A55" s="2" t="s">
        <v>6</v>
      </c>
      <c r="B55" s="2" t="s">
        <v>18</v>
      </c>
      <c r="C55" s="4">
        <v>46095.833333333336</v>
      </c>
      <c r="E55" s="6"/>
      <c r="F55" s="17">
        <v>768</v>
      </c>
      <c r="G55" s="8"/>
      <c r="K55" s="2" t="s">
        <v>61</v>
      </c>
      <c r="L55" s="5" t="s">
        <v>66</v>
      </c>
      <c r="M55" s="6" t="s">
        <v>62</v>
      </c>
      <c r="N55" s="17">
        <v>503</v>
      </c>
      <c r="O55" s="10"/>
      <c r="P55" s="10">
        <v>5</v>
      </c>
      <c r="Q55" s="10"/>
      <c r="R55" s="10"/>
      <c r="S55" s="10"/>
      <c r="T55" s="2" t="s">
        <v>99</v>
      </c>
    </row>
    <row r="56" spans="1:20" ht="32" hidden="1">
      <c r="A56" s="2" t="s">
        <v>6</v>
      </c>
      <c r="B56" s="2" t="s">
        <v>18</v>
      </c>
      <c r="C56" s="4">
        <v>46095.916666666664</v>
      </c>
      <c r="E56" s="6"/>
      <c r="F56" s="17">
        <v>425</v>
      </c>
      <c r="G56" s="8"/>
      <c r="K56" s="2" t="s">
        <v>64</v>
      </c>
      <c r="L56" s="5" t="s">
        <v>66</v>
      </c>
      <c r="M56" s="6" t="s">
        <v>65</v>
      </c>
      <c r="N56" s="17">
        <v>754</v>
      </c>
      <c r="O56" s="10"/>
      <c r="P56" s="10">
        <v>5</v>
      </c>
      <c r="Q56" s="10"/>
      <c r="R56" s="10"/>
      <c r="S56" s="10"/>
      <c r="T56" s="2" t="s">
        <v>99</v>
      </c>
    </row>
    <row r="57" spans="1:20" hidden="1">
      <c r="A57" s="7" t="s">
        <v>100</v>
      </c>
      <c r="B57" s="2" t="s">
        <v>18</v>
      </c>
      <c r="C57" s="4">
        <v>46113</v>
      </c>
      <c r="E57" s="6"/>
      <c r="F57" s="17">
        <v>280</v>
      </c>
      <c r="G57" s="8"/>
      <c r="L57" s="5" t="s">
        <v>66</v>
      </c>
      <c r="M57" s="6"/>
      <c r="N57" s="17">
        <v>394</v>
      </c>
      <c r="O57" s="10"/>
      <c r="P57" s="10"/>
      <c r="Q57" s="10"/>
      <c r="R57" s="10"/>
      <c r="S57" s="10"/>
      <c r="T57" s="2" t="s">
        <v>99</v>
      </c>
    </row>
    <row r="58" spans="1:20" ht="48" hidden="1">
      <c r="A58" s="2" t="s">
        <v>53</v>
      </c>
      <c r="B58" s="2" t="s">
        <v>18</v>
      </c>
      <c r="C58" s="4">
        <v>46095</v>
      </c>
      <c r="D58" s="2" t="s">
        <v>54</v>
      </c>
      <c r="E58" s="6" t="s">
        <v>55</v>
      </c>
      <c r="F58" s="17">
        <v>114</v>
      </c>
      <c r="G58" s="8"/>
      <c r="H58" s="8">
        <v>4</v>
      </c>
      <c r="K58" s="2" t="s">
        <v>57</v>
      </c>
      <c r="L58" s="5" t="s">
        <v>66</v>
      </c>
      <c r="M58" s="6" t="s">
        <v>56</v>
      </c>
      <c r="N58" s="17">
        <v>488</v>
      </c>
      <c r="O58" s="10"/>
      <c r="P58" s="10">
        <v>4</v>
      </c>
      <c r="Q58" s="10"/>
      <c r="R58" s="10"/>
      <c r="S58" s="10"/>
    </row>
    <row r="59" spans="1:20" ht="32" hidden="1">
      <c r="A59" s="7" t="s">
        <v>28</v>
      </c>
      <c r="B59" s="2" t="s">
        <v>18</v>
      </c>
      <c r="C59" s="4">
        <v>46095.75</v>
      </c>
      <c r="D59" s="2" t="s">
        <v>31</v>
      </c>
      <c r="E59" s="6" t="s">
        <v>30</v>
      </c>
      <c r="F59" s="17">
        <v>858</v>
      </c>
      <c r="G59" s="8"/>
      <c r="K59" s="2" t="s">
        <v>33</v>
      </c>
      <c r="L59" s="5" t="s">
        <v>66</v>
      </c>
      <c r="M59" s="6" t="s">
        <v>32</v>
      </c>
      <c r="N59" s="17">
        <v>265</v>
      </c>
      <c r="O59" s="10"/>
      <c r="P59" s="10">
        <v>2</v>
      </c>
      <c r="Q59" s="10"/>
      <c r="R59" s="10"/>
      <c r="S59" s="10"/>
    </row>
    <row r="60" spans="1:20" ht="32" hidden="1">
      <c r="A60" s="2" t="s">
        <v>12</v>
      </c>
      <c r="B60" s="2" t="s">
        <v>18</v>
      </c>
      <c r="C60" s="4">
        <v>46095</v>
      </c>
      <c r="D60" s="2" t="s">
        <v>47</v>
      </c>
      <c r="E60" s="6"/>
      <c r="F60" s="17">
        <v>386</v>
      </c>
      <c r="G60" s="8"/>
      <c r="K60" s="2" t="s">
        <v>39</v>
      </c>
      <c r="L60" s="5" t="s">
        <v>66</v>
      </c>
      <c r="M60" s="6" t="s">
        <v>38</v>
      </c>
      <c r="N60" s="17">
        <v>507</v>
      </c>
      <c r="O60" s="10"/>
      <c r="P60" s="10"/>
      <c r="Q60" s="10"/>
      <c r="R60" s="10"/>
      <c r="S60" s="10"/>
    </row>
    <row r="61" spans="1:20" hidden="1">
      <c r="A61" s="7" t="s">
        <v>11</v>
      </c>
      <c r="B61" s="2" t="s">
        <v>18</v>
      </c>
      <c r="C61" s="4">
        <v>46095</v>
      </c>
      <c r="D61" s="2" t="s">
        <v>27</v>
      </c>
      <c r="E61" s="6"/>
      <c r="F61" s="17">
        <v>761</v>
      </c>
      <c r="G61" s="8"/>
      <c r="K61" s="2" t="s">
        <v>119</v>
      </c>
      <c r="L61" s="5" t="s">
        <v>66</v>
      </c>
      <c r="M61" s="6"/>
      <c r="N61" s="17">
        <v>167</v>
      </c>
      <c r="O61" s="10"/>
      <c r="P61" s="10"/>
      <c r="Q61" s="10"/>
      <c r="R61" s="10"/>
      <c r="S61" s="10"/>
    </row>
    <row r="62" spans="1:20" ht="64" hidden="1">
      <c r="A62" s="7" t="s">
        <v>15</v>
      </c>
      <c r="B62" s="2" t="s">
        <v>18</v>
      </c>
      <c r="C62" s="4">
        <v>46095</v>
      </c>
      <c r="D62" s="2" t="s">
        <v>50</v>
      </c>
      <c r="E62" s="6" t="s">
        <v>51</v>
      </c>
      <c r="F62" s="17">
        <v>43</v>
      </c>
      <c r="G62" s="8"/>
      <c r="K62" s="2" t="s">
        <v>17</v>
      </c>
      <c r="L62" s="5" t="s">
        <v>66</v>
      </c>
      <c r="M62" s="6" t="s">
        <v>19</v>
      </c>
      <c r="N62" s="17">
        <v>221</v>
      </c>
      <c r="O62" s="10"/>
      <c r="P62" s="10">
        <v>5</v>
      </c>
      <c r="Q62" s="10"/>
      <c r="R62" s="10"/>
      <c r="S62" s="10"/>
    </row>
    <row r="63" spans="1:20" ht="32" hidden="1">
      <c r="A63" s="2" t="s">
        <v>9</v>
      </c>
      <c r="B63" s="2" t="s">
        <v>18</v>
      </c>
      <c r="C63" s="4">
        <v>46095</v>
      </c>
      <c r="D63" s="2" t="s">
        <v>48</v>
      </c>
      <c r="E63" s="6"/>
      <c r="F63" s="17">
        <v>551</v>
      </c>
      <c r="G63" s="8"/>
      <c r="K63" s="2" t="s">
        <v>21</v>
      </c>
      <c r="L63" s="5" t="s">
        <v>66</v>
      </c>
      <c r="M63" s="6" t="s">
        <v>22</v>
      </c>
      <c r="N63" s="17">
        <v>103</v>
      </c>
      <c r="O63" s="10"/>
      <c r="P63" s="10">
        <v>5</v>
      </c>
      <c r="Q63" s="10"/>
      <c r="R63" s="10"/>
      <c r="S63" s="10"/>
    </row>
    <row r="64" spans="1:20" hidden="1">
      <c r="A64" s="2" t="s">
        <v>14</v>
      </c>
      <c r="B64" s="2" t="s">
        <v>18</v>
      </c>
      <c r="C64" s="4">
        <v>46095</v>
      </c>
      <c r="D64" s="2" t="s">
        <v>45</v>
      </c>
      <c r="E64" s="6"/>
      <c r="F64" s="17">
        <v>346</v>
      </c>
      <c r="G64" s="8"/>
      <c r="K64" s="2" t="s">
        <v>44</v>
      </c>
      <c r="L64" s="5" t="s">
        <v>66</v>
      </c>
      <c r="M64" s="6"/>
      <c r="N64" s="17">
        <v>36</v>
      </c>
      <c r="O64" s="10"/>
      <c r="P64" s="10"/>
      <c r="Q64" s="10"/>
      <c r="R64" s="10"/>
      <c r="S64" s="10"/>
    </row>
    <row r="65" spans="1:19" hidden="1">
      <c r="A65" s="2" t="s">
        <v>13</v>
      </c>
      <c r="B65" s="2" t="s">
        <v>18</v>
      </c>
      <c r="C65" s="4">
        <v>46095</v>
      </c>
      <c r="D65" s="2" t="s">
        <v>46</v>
      </c>
      <c r="E65" s="6"/>
      <c r="F65" s="17">
        <v>103</v>
      </c>
      <c r="G65" s="8"/>
      <c r="K65" s="2" t="s">
        <v>43</v>
      </c>
      <c r="L65" s="5" t="s">
        <v>66</v>
      </c>
      <c r="M65" s="6"/>
      <c r="N65" s="17">
        <v>301</v>
      </c>
      <c r="O65" s="10"/>
      <c r="P65" s="10"/>
      <c r="Q65" s="10"/>
      <c r="R65" s="10"/>
      <c r="S65" s="10"/>
    </row>
    <row r="66" spans="1:19" ht="45.75" hidden="1" customHeight="1">
      <c r="A66" s="2" t="s">
        <v>8</v>
      </c>
      <c r="B66" s="2" t="s">
        <v>18</v>
      </c>
      <c r="C66" s="4">
        <v>46095</v>
      </c>
      <c r="D66" s="2" t="s">
        <v>49</v>
      </c>
      <c r="E66" s="6"/>
      <c r="F66" s="17">
        <v>703</v>
      </c>
      <c r="G66" s="8"/>
      <c r="H66" s="8">
        <v>5</v>
      </c>
      <c r="K66" s="2" t="s">
        <v>23</v>
      </c>
      <c r="L66" s="5" t="s">
        <v>66</v>
      </c>
      <c r="M66" s="6" t="s">
        <v>20</v>
      </c>
      <c r="N66" s="17">
        <v>872</v>
      </c>
      <c r="O66" s="10"/>
      <c r="P66" s="9">
        <v>3</v>
      </c>
      <c r="Q66" s="10"/>
      <c r="R66" s="10"/>
      <c r="S66" s="9"/>
    </row>
    <row r="67" spans="1:19">
      <c r="C67" s="4"/>
      <c r="L67" s="5"/>
      <c r="N67" s="5"/>
    </row>
    <row r="68" spans="1:19">
      <c r="C68" s="4"/>
      <c r="L68" s="5"/>
      <c r="N68" s="5"/>
    </row>
    <row r="69" spans="1:19">
      <c r="C69" s="4"/>
      <c r="L69" s="5"/>
      <c r="N69" s="5"/>
    </row>
    <row r="70" spans="1:19">
      <c r="C70" s="4"/>
      <c r="L70" s="5"/>
      <c r="N70" s="5"/>
    </row>
    <row r="71" spans="1:19">
      <c r="C71" s="4"/>
      <c r="L71" s="5"/>
      <c r="N71" s="5"/>
    </row>
    <row r="72" spans="1:19">
      <c r="L72" s="5"/>
      <c r="N72" s="5"/>
    </row>
    <row r="73" spans="1:19">
      <c r="L73" s="5"/>
      <c r="N73" s="5"/>
    </row>
    <row r="74" spans="1:19">
      <c r="L74" s="5"/>
    </row>
    <row r="75" spans="1:19">
      <c r="L75" s="5"/>
    </row>
    <row r="131" spans="6:6">
      <c r="F131" s="5"/>
    </row>
  </sheetData>
  <autoFilter ref="A2:T66" xr:uid="{CE7AF04F-BD1E-4BDF-83B9-BCC86C5E551A}">
    <filterColumn colId="19">
      <filters>
        <filter val="Yes to show equipment and subaward differences."/>
        <filter val="Yes, leadership question"/>
        <filter val="Yes, show the differences in decision Yes or No"/>
        <filter val="Yes, show the search queries"/>
        <filter val="Yes, to show casual POV example."/>
      </filters>
    </filterColumn>
  </autoFilter>
  <sortState xmlns:xlrd2="http://schemas.microsoft.com/office/spreadsheetml/2017/richdata2" ref="A3:T73">
    <sortCondition descending="1" ref="T18:T73"/>
  </sortState>
  <phoneticPr fontId="2" type="noConversion"/>
  <conditionalFormatting sqref="D1:D1048576">
    <cfRule type="duplicateValues" dxfId="1"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3B5C8-A341-41DA-BE0C-A2E53BEC7735}">
  <dimension ref="A1:C101"/>
  <sheetViews>
    <sheetView zoomScale="70" zoomScaleNormal="70" workbookViewId="0">
      <selection activeCell="B103" sqref="B103"/>
    </sheetView>
  </sheetViews>
  <sheetFormatPr defaultRowHeight="14.5"/>
  <cols>
    <col min="1" max="1" width="49.1796875" customWidth="1"/>
    <col min="2" max="2" width="39.81640625" customWidth="1"/>
    <col min="3" max="3" width="10" customWidth="1"/>
  </cols>
  <sheetData>
    <row r="1" spans="1:3">
      <c r="A1" t="s">
        <v>0</v>
      </c>
      <c r="B1" t="s">
        <v>4</v>
      </c>
      <c r="C1" t="s">
        <v>219</v>
      </c>
    </row>
    <row r="2" spans="1:3">
      <c r="A2" t="s">
        <v>16</v>
      </c>
      <c r="B2" t="s">
        <v>147</v>
      </c>
      <c r="C2">
        <v>4</v>
      </c>
    </row>
    <row r="3" spans="1:3">
      <c r="A3" t="s">
        <v>156</v>
      </c>
      <c r="B3" t="s">
        <v>189</v>
      </c>
      <c r="C3">
        <v>6</v>
      </c>
    </row>
    <row r="4" spans="1:3">
      <c r="A4" t="s">
        <v>10</v>
      </c>
      <c r="B4" t="s">
        <v>79</v>
      </c>
      <c r="C4">
        <v>20</v>
      </c>
    </row>
    <row r="5" spans="1:3">
      <c r="A5" t="s">
        <v>156</v>
      </c>
      <c r="B5" t="s">
        <v>173</v>
      </c>
      <c r="C5">
        <v>23</v>
      </c>
    </row>
    <row r="6" spans="1:3">
      <c r="A6" t="s">
        <v>16</v>
      </c>
      <c r="B6" t="s">
        <v>214</v>
      </c>
      <c r="C6">
        <v>29</v>
      </c>
    </row>
    <row r="7" spans="1:3">
      <c r="A7" t="s">
        <v>156</v>
      </c>
      <c r="B7" t="s">
        <v>188</v>
      </c>
      <c r="C7">
        <v>34</v>
      </c>
    </row>
    <row r="8" spans="1:3">
      <c r="A8" t="s">
        <v>156</v>
      </c>
      <c r="B8" t="s">
        <v>194</v>
      </c>
      <c r="C8">
        <v>64</v>
      </c>
    </row>
    <row r="9" spans="1:3">
      <c r="A9" t="s">
        <v>16</v>
      </c>
      <c r="B9" t="s">
        <v>104</v>
      </c>
      <c r="C9">
        <v>70</v>
      </c>
    </row>
    <row r="10" spans="1:3">
      <c r="A10" t="s">
        <v>16</v>
      </c>
      <c r="B10" t="s">
        <v>144</v>
      </c>
      <c r="C10">
        <v>79</v>
      </c>
    </row>
    <row r="11" spans="1:3">
      <c r="A11" t="s">
        <v>156</v>
      </c>
      <c r="B11" t="s">
        <v>174</v>
      </c>
      <c r="C11">
        <v>81</v>
      </c>
    </row>
    <row r="12" spans="1:3">
      <c r="A12" t="s">
        <v>16</v>
      </c>
      <c r="B12" t="s">
        <v>150</v>
      </c>
      <c r="C12">
        <v>104</v>
      </c>
    </row>
    <row r="13" spans="1:3">
      <c r="A13" t="s">
        <v>10</v>
      </c>
      <c r="B13" t="s">
        <v>35</v>
      </c>
      <c r="C13">
        <v>140</v>
      </c>
    </row>
    <row r="14" spans="1:3">
      <c r="A14" t="s">
        <v>16</v>
      </c>
      <c r="B14" t="s">
        <v>150</v>
      </c>
      <c r="C14">
        <v>146</v>
      </c>
    </row>
    <row r="15" spans="1:3">
      <c r="A15" t="s">
        <v>10</v>
      </c>
      <c r="B15" t="s">
        <v>91</v>
      </c>
      <c r="C15">
        <v>157</v>
      </c>
    </row>
    <row r="16" spans="1:3">
      <c r="A16" t="s">
        <v>156</v>
      </c>
      <c r="B16" t="s">
        <v>175</v>
      </c>
      <c r="C16">
        <v>177</v>
      </c>
    </row>
    <row r="17" spans="1:3">
      <c r="A17" t="s">
        <v>16</v>
      </c>
      <c r="B17" t="s">
        <v>134</v>
      </c>
      <c r="C17">
        <v>190</v>
      </c>
    </row>
    <row r="18" spans="1:3">
      <c r="A18" t="s">
        <v>156</v>
      </c>
      <c r="B18" t="s">
        <v>186</v>
      </c>
      <c r="C18">
        <v>197</v>
      </c>
    </row>
    <row r="19" spans="1:3">
      <c r="A19" t="s">
        <v>10</v>
      </c>
      <c r="B19" t="s">
        <v>24</v>
      </c>
      <c r="C19">
        <v>216</v>
      </c>
    </row>
    <row r="20" spans="1:3">
      <c r="A20" t="s">
        <v>10</v>
      </c>
      <c r="B20" t="s">
        <v>70</v>
      </c>
      <c r="C20">
        <v>231</v>
      </c>
    </row>
    <row r="21" spans="1:3">
      <c r="A21" t="s">
        <v>98</v>
      </c>
      <c r="B21" t="s">
        <v>110</v>
      </c>
      <c r="C21">
        <v>236</v>
      </c>
    </row>
    <row r="22" spans="1:3">
      <c r="A22" t="s">
        <v>98</v>
      </c>
      <c r="B22" t="s">
        <v>126</v>
      </c>
      <c r="C22">
        <v>253</v>
      </c>
    </row>
    <row r="23" spans="1:3">
      <c r="A23" t="s">
        <v>28</v>
      </c>
      <c r="B23" t="s">
        <v>178</v>
      </c>
      <c r="C23">
        <v>255</v>
      </c>
    </row>
    <row r="24" spans="1:3">
      <c r="A24" t="s">
        <v>16</v>
      </c>
      <c r="B24" t="s">
        <v>132</v>
      </c>
      <c r="C24">
        <v>284</v>
      </c>
    </row>
    <row r="25" spans="1:3">
      <c r="A25" t="s">
        <v>28</v>
      </c>
      <c r="B25" t="s">
        <v>162</v>
      </c>
      <c r="C25">
        <v>286</v>
      </c>
    </row>
    <row r="26" spans="1:3">
      <c r="A26" t="s">
        <v>28</v>
      </c>
      <c r="B26" t="s">
        <v>158</v>
      </c>
      <c r="C26">
        <v>295</v>
      </c>
    </row>
    <row r="27" spans="1:3">
      <c r="A27" t="s">
        <v>98</v>
      </c>
      <c r="B27" t="s">
        <v>109</v>
      </c>
      <c r="C27">
        <v>298</v>
      </c>
    </row>
    <row r="28" spans="1:3">
      <c r="A28" t="s">
        <v>28</v>
      </c>
      <c r="B28" t="s">
        <v>181</v>
      </c>
      <c r="C28">
        <v>304</v>
      </c>
    </row>
    <row r="29" spans="1:3">
      <c r="A29" t="s">
        <v>98</v>
      </c>
      <c r="B29" t="s">
        <v>111</v>
      </c>
      <c r="C29">
        <v>304</v>
      </c>
    </row>
    <row r="30" spans="1:3">
      <c r="A30" t="s">
        <v>16</v>
      </c>
      <c r="B30" t="s">
        <v>155</v>
      </c>
      <c r="C30">
        <v>308</v>
      </c>
    </row>
    <row r="31" spans="1:3">
      <c r="A31" t="s">
        <v>10</v>
      </c>
      <c r="B31" t="s">
        <v>73</v>
      </c>
      <c r="C31">
        <v>315</v>
      </c>
    </row>
    <row r="32" spans="1:3" ht="16">
      <c r="A32" t="s">
        <v>10</v>
      </c>
      <c r="B32" s="2" t="s">
        <v>224</v>
      </c>
      <c r="C32">
        <v>343</v>
      </c>
    </row>
    <row r="33" spans="1:3">
      <c r="A33" t="s">
        <v>10</v>
      </c>
      <c r="B33" t="s">
        <v>72</v>
      </c>
      <c r="C33">
        <v>346</v>
      </c>
    </row>
    <row r="34" spans="1:3">
      <c r="A34" t="s">
        <v>98</v>
      </c>
      <c r="B34" t="s">
        <v>122</v>
      </c>
      <c r="C34">
        <v>350</v>
      </c>
    </row>
    <row r="35" spans="1:3">
      <c r="A35" t="s">
        <v>98</v>
      </c>
      <c r="B35" t="s">
        <v>127</v>
      </c>
      <c r="C35">
        <v>357</v>
      </c>
    </row>
    <row r="36" spans="1:3">
      <c r="A36" t="s">
        <v>28</v>
      </c>
      <c r="B36" t="s">
        <v>161</v>
      </c>
      <c r="C36">
        <v>366</v>
      </c>
    </row>
    <row r="37" spans="1:3">
      <c r="A37" t="s">
        <v>16</v>
      </c>
      <c r="B37" t="s">
        <v>133</v>
      </c>
      <c r="C37">
        <v>377</v>
      </c>
    </row>
    <row r="38" spans="1:3">
      <c r="A38" t="s">
        <v>98</v>
      </c>
      <c r="B38" t="s">
        <v>107</v>
      </c>
      <c r="C38">
        <v>377</v>
      </c>
    </row>
    <row r="39" spans="1:3">
      <c r="A39" t="s">
        <v>16</v>
      </c>
      <c r="B39" t="s">
        <v>131</v>
      </c>
      <c r="C39">
        <v>386</v>
      </c>
    </row>
    <row r="40" spans="1:3">
      <c r="A40" t="s">
        <v>98</v>
      </c>
      <c r="B40" t="s">
        <v>108</v>
      </c>
      <c r="C40">
        <v>390</v>
      </c>
    </row>
    <row r="41" spans="1:3">
      <c r="A41" t="s">
        <v>10</v>
      </c>
      <c r="B41" t="s">
        <v>34</v>
      </c>
      <c r="C41">
        <v>395</v>
      </c>
    </row>
    <row r="42" spans="1:3">
      <c r="A42" t="s">
        <v>28</v>
      </c>
      <c r="B42" t="s">
        <v>165</v>
      </c>
      <c r="C42">
        <v>396</v>
      </c>
    </row>
    <row r="43" spans="1:3">
      <c r="A43" t="s">
        <v>10</v>
      </c>
      <c r="B43" t="s">
        <v>77</v>
      </c>
      <c r="C43">
        <v>400</v>
      </c>
    </row>
    <row r="44" spans="1:3">
      <c r="A44" t="s">
        <v>16</v>
      </c>
      <c r="B44" t="s">
        <v>137</v>
      </c>
      <c r="C44">
        <v>408</v>
      </c>
    </row>
    <row r="45" spans="1:3">
      <c r="A45" t="s">
        <v>28</v>
      </c>
      <c r="B45" t="s">
        <v>159</v>
      </c>
      <c r="C45">
        <v>450</v>
      </c>
    </row>
    <row r="46" spans="1:3">
      <c r="A46" t="s">
        <v>16</v>
      </c>
      <c r="B46" t="s">
        <v>135</v>
      </c>
      <c r="C46">
        <v>462</v>
      </c>
    </row>
    <row r="47" spans="1:3">
      <c r="A47" t="s">
        <v>156</v>
      </c>
      <c r="B47" t="s">
        <v>192</v>
      </c>
      <c r="C47">
        <v>477</v>
      </c>
    </row>
    <row r="48" spans="1:3">
      <c r="A48" t="s">
        <v>98</v>
      </c>
      <c r="B48" t="s">
        <v>105</v>
      </c>
      <c r="C48">
        <v>480</v>
      </c>
    </row>
    <row r="49" spans="1:3">
      <c r="A49" t="s">
        <v>16</v>
      </c>
      <c r="B49" t="s">
        <v>153</v>
      </c>
      <c r="C49">
        <v>495</v>
      </c>
    </row>
    <row r="50" spans="1:3">
      <c r="A50" t="s">
        <v>10</v>
      </c>
      <c r="B50" t="s">
        <v>95</v>
      </c>
      <c r="C50">
        <v>503</v>
      </c>
    </row>
    <row r="51" spans="1:3">
      <c r="A51" t="s">
        <v>16</v>
      </c>
      <c r="B51" t="s">
        <v>145</v>
      </c>
      <c r="C51">
        <v>508</v>
      </c>
    </row>
    <row r="52" spans="1:3">
      <c r="A52" t="s">
        <v>28</v>
      </c>
      <c r="B52" t="s">
        <v>163</v>
      </c>
      <c r="C52">
        <v>520</v>
      </c>
    </row>
    <row r="53" spans="1:3">
      <c r="A53" t="s">
        <v>16</v>
      </c>
      <c r="B53" t="s">
        <v>130</v>
      </c>
      <c r="C53">
        <v>540</v>
      </c>
    </row>
    <row r="54" spans="1:3">
      <c r="A54" t="s">
        <v>98</v>
      </c>
      <c r="B54" t="s">
        <v>113</v>
      </c>
      <c r="C54">
        <v>548</v>
      </c>
    </row>
    <row r="55" spans="1:3">
      <c r="A55" t="s">
        <v>98</v>
      </c>
      <c r="B55" t="s">
        <v>115</v>
      </c>
      <c r="C55">
        <v>559</v>
      </c>
    </row>
    <row r="56" spans="1:3">
      <c r="A56" t="s">
        <v>28</v>
      </c>
      <c r="B56" t="s">
        <v>166</v>
      </c>
      <c r="C56">
        <v>560</v>
      </c>
    </row>
    <row r="57" spans="1:3">
      <c r="A57" t="s">
        <v>156</v>
      </c>
      <c r="B57" t="s">
        <v>187</v>
      </c>
      <c r="C57">
        <v>561</v>
      </c>
    </row>
    <row r="58" spans="1:3">
      <c r="A58" t="s">
        <v>28</v>
      </c>
      <c r="B58" t="s">
        <v>212</v>
      </c>
      <c r="C58">
        <v>571</v>
      </c>
    </row>
    <row r="59" spans="1:3">
      <c r="A59" t="s">
        <v>98</v>
      </c>
      <c r="B59" t="s">
        <v>123</v>
      </c>
      <c r="C59">
        <v>572</v>
      </c>
    </row>
    <row r="60" spans="1:3">
      <c r="A60" t="s">
        <v>156</v>
      </c>
      <c r="B60" t="s">
        <v>190</v>
      </c>
      <c r="C60">
        <v>607</v>
      </c>
    </row>
    <row r="61" spans="1:3">
      <c r="A61" t="s">
        <v>28</v>
      </c>
      <c r="B61" t="s">
        <v>160</v>
      </c>
      <c r="C61">
        <v>621</v>
      </c>
    </row>
    <row r="62" spans="1:3">
      <c r="A62" t="s">
        <v>28</v>
      </c>
      <c r="B62" t="s">
        <v>182</v>
      </c>
      <c r="C62">
        <v>643</v>
      </c>
    </row>
    <row r="63" spans="1:3" ht="16">
      <c r="A63" t="s">
        <v>10</v>
      </c>
      <c r="B63" s="2" t="s">
        <v>220</v>
      </c>
      <c r="C63">
        <v>646</v>
      </c>
    </row>
    <row r="64" spans="1:3">
      <c r="A64" t="s">
        <v>156</v>
      </c>
      <c r="B64" t="s">
        <v>193</v>
      </c>
      <c r="C64">
        <v>649</v>
      </c>
    </row>
    <row r="65" spans="1:3">
      <c r="A65" t="s">
        <v>16</v>
      </c>
      <c r="B65" t="s">
        <v>136</v>
      </c>
      <c r="C65">
        <v>655</v>
      </c>
    </row>
    <row r="66" spans="1:3">
      <c r="A66" t="s">
        <v>98</v>
      </c>
      <c r="B66" t="s">
        <v>129</v>
      </c>
      <c r="C66">
        <v>674</v>
      </c>
    </row>
    <row r="67" spans="1:3">
      <c r="A67" t="s">
        <v>10</v>
      </c>
      <c r="B67" t="s">
        <v>80</v>
      </c>
      <c r="C67">
        <v>676</v>
      </c>
    </row>
    <row r="68" spans="1:3">
      <c r="A68" t="s">
        <v>98</v>
      </c>
      <c r="B68" t="s">
        <v>124</v>
      </c>
      <c r="C68">
        <v>681</v>
      </c>
    </row>
    <row r="69" spans="1:3">
      <c r="A69" t="s">
        <v>98</v>
      </c>
      <c r="B69" t="s">
        <v>112</v>
      </c>
      <c r="C69">
        <v>691</v>
      </c>
    </row>
    <row r="70" spans="1:3">
      <c r="A70" t="s">
        <v>156</v>
      </c>
      <c r="B70" t="s">
        <v>171</v>
      </c>
      <c r="C70">
        <v>711</v>
      </c>
    </row>
    <row r="71" spans="1:3">
      <c r="A71" t="s">
        <v>98</v>
      </c>
      <c r="B71" t="s">
        <v>117</v>
      </c>
      <c r="C71">
        <v>734</v>
      </c>
    </row>
    <row r="72" spans="1:3">
      <c r="A72" t="s">
        <v>156</v>
      </c>
      <c r="B72" t="s">
        <v>191</v>
      </c>
      <c r="C72">
        <v>739</v>
      </c>
    </row>
    <row r="73" spans="1:3">
      <c r="A73" t="s">
        <v>10</v>
      </c>
      <c r="B73" t="s">
        <v>67</v>
      </c>
      <c r="C73">
        <v>740</v>
      </c>
    </row>
    <row r="74" spans="1:3">
      <c r="A74" t="s">
        <v>28</v>
      </c>
      <c r="B74" t="s">
        <v>183</v>
      </c>
      <c r="C74">
        <v>750</v>
      </c>
    </row>
    <row r="75" spans="1:3">
      <c r="A75" t="s">
        <v>28</v>
      </c>
      <c r="B75" t="s">
        <v>180</v>
      </c>
      <c r="C75">
        <v>765</v>
      </c>
    </row>
    <row r="76" spans="1:3">
      <c r="A76" t="s">
        <v>156</v>
      </c>
      <c r="B76" t="s">
        <v>195</v>
      </c>
      <c r="C76">
        <v>773</v>
      </c>
    </row>
    <row r="77" spans="1:3">
      <c r="A77" t="s">
        <v>98</v>
      </c>
      <c r="B77" t="s">
        <v>116</v>
      </c>
      <c r="C77">
        <v>776</v>
      </c>
    </row>
    <row r="78" spans="1:3">
      <c r="A78" t="s">
        <v>16</v>
      </c>
      <c r="B78" t="s">
        <v>149</v>
      </c>
      <c r="C78">
        <v>788</v>
      </c>
    </row>
    <row r="79" spans="1:3">
      <c r="A79" t="s">
        <v>10</v>
      </c>
      <c r="B79" t="s">
        <v>25</v>
      </c>
      <c r="C79">
        <v>791</v>
      </c>
    </row>
    <row r="80" spans="1:3">
      <c r="A80" t="s">
        <v>10</v>
      </c>
      <c r="B80" t="s">
        <v>93</v>
      </c>
      <c r="C80">
        <v>805</v>
      </c>
    </row>
    <row r="81" spans="1:3">
      <c r="A81" t="s">
        <v>98</v>
      </c>
      <c r="B81" t="s">
        <v>114</v>
      </c>
      <c r="C81">
        <v>806</v>
      </c>
    </row>
    <row r="82" spans="1:3">
      <c r="A82" t="s">
        <v>156</v>
      </c>
      <c r="B82" t="s">
        <v>176</v>
      </c>
      <c r="C82">
        <v>815</v>
      </c>
    </row>
    <row r="83" spans="1:3">
      <c r="A83" t="s">
        <v>10</v>
      </c>
      <c r="B83" t="s">
        <v>76</v>
      </c>
      <c r="C83">
        <v>838</v>
      </c>
    </row>
    <row r="84" spans="1:3">
      <c r="A84" t="s">
        <v>10</v>
      </c>
      <c r="B84" t="s">
        <v>87</v>
      </c>
      <c r="C84">
        <v>855</v>
      </c>
    </row>
    <row r="85" spans="1:3">
      <c r="A85" t="s">
        <v>28</v>
      </c>
      <c r="B85" t="s">
        <v>185</v>
      </c>
      <c r="C85">
        <v>856</v>
      </c>
    </row>
    <row r="86" spans="1:3">
      <c r="A86" t="s">
        <v>156</v>
      </c>
      <c r="B86" t="s">
        <v>167</v>
      </c>
      <c r="C86">
        <v>874</v>
      </c>
    </row>
    <row r="87" spans="1:3">
      <c r="A87" t="s">
        <v>16</v>
      </c>
      <c r="B87" t="s">
        <v>143</v>
      </c>
      <c r="C87">
        <v>883</v>
      </c>
    </row>
    <row r="88" spans="1:3">
      <c r="A88" t="s">
        <v>156</v>
      </c>
      <c r="B88" t="s">
        <v>170</v>
      </c>
      <c r="C88">
        <v>895</v>
      </c>
    </row>
    <row r="89" spans="1:3">
      <c r="A89" t="s">
        <v>28</v>
      </c>
      <c r="B89" t="s">
        <v>184</v>
      </c>
      <c r="C89">
        <v>899</v>
      </c>
    </row>
    <row r="90" spans="1:3">
      <c r="A90" t="s">
        <v>10</v>
      </c>
      <c r="B90" t="s">
        <v>89</v>
      </c>
      <c r="C90">
        <v>899</v>
      </c>
    </row>
    <row r="91" spans="1:3">
      <c r="A91" t="s">
        <v>28</v>
      </c>
      <c r="B91" t="s">
        <v>164</v>
      </c>
      <c r="C91">
        <v>906</v>
      </c>
    </row>
    <row r="92" spans="1:3">
      <c r="A92" t="s">
        <v>156</v>
      </c>
      <c r="B92" t="s">
        <v>169</v>
      </c>
      <c r="C92">
        <v>907</v>
      </c>
    </row>
    <row r="93" spans="1:3" ht="16">
      <c r="A93" t="s">
        <v>98</v>
      </c>
      <c r="B93" s="8" t="s">
        <v>468</v>
      </c>
      <c r="C93">
        <v>929</v>
      </c>
    </row>
    <row r="94" spans="1:3">
      <c r="A94" t="s">
        <v>28</v>
      </c>
      <c r="B94" t="s">
        <v>179</v>
      </c>
      <c r="C94">
        <v>930</v>
      </c>
    </row>
    <row r="95" spans="1:3">
      <c r="A95" t="s">
        <v>10</v>
      </c>
      <c r="B95" t="s">
        <v>85</v>
      </c>
      <c r="C95">
        <v>938</v>
      </c>
    </row>
    <row r="96" spans="1:3">
      <c r="A96" t="s">
        <v>156</v>
      </c>
      <c r="B96" t="s">
        <v>168</v>
      </c>
      <c r="C96">
        <v>947</v>
      </c>
    </row>
    <row r="97" spans="1:3">
      <c r="A97" t="s">
        <v>28</v>
      </c>
      <c r="B97" t="s">
        <v>198</v>
      </c>
      <c r="C97">
        <v>968</v>
      </c>
    </row>
    <row r="98" spans="1:3">
      <c r="A98" t="s">
        <v>98</v>
      </c>
      <c r="B98" t="s">
        <v>118</v>
      </c>
      <c r="C98">
        <v>973</v>
      </c>
    </row>
    <row r="99" spans="1:3">
      <c r="A99" t="s">
        <v>16</v>
      </c>
      <c r="B99" t="s">
        <v>148</v>
      </c>
      <c r="C99">
        <v>982</v>
      </c>
    </row>
    <row r="100" spans="1:3">
      <c r="A100" t="s">
        <v>28</v>
      </c>
      <c r="B100" t="s">
        <v>29</v>
      </c>
      <c r="C100">
        <v>983</v>
      </c>
    </row>
    <row r="101" spans="1:3">
      <c r="A101" t="s">
        <v>156</v>
      </c>
      <c r="B101" t="s">
        <v>172</v>
      </c>
      <c r="C101">
        <v>983</v>
      </c>
    </row>
  </sheetData>
  <autoFilter ref="A1:C101" xr:uid="{84D3B5C8-A341-41DA-BE0C-A2E53BEC7735}">
    <sortState xmlns:xlrd2="http://schemas.microsoft.com/office/spreadsheetml/2017/richdata2" ref="A2:C101">
      <sortCondition ref="C1:C101"/>
    </sortState>
  </autoFilter>
  <conditionalFormatting sqref="B51">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3016-BD84-4429-9BB7-E2E05E282CF1}">
  <dimension ref="A1:L104"/>
  <sheetViews>
    <sheetView zoomScale="78" zoomScaleNormal="100" workbookViewId="0">
      <selection activeCell="A101" sqref="A101"/>
    </sheetView>
  </sheetViews>
  <sheetFormatPr defaultRowHeight="14.5"/>
  <cols>
    <col min="2" max="2" width="19.453125" customWidth="1"/>
    <col min="3" max="3" width="41.1796875" customWidth="1"/>
    <col min="4" max="4" width="9.54296875" customWidth="1"/>
    <col min="5" max="5" width="59.1796875" customWidth="1"/>
    <col min="6" max="6" width="26.81640625" customWidth="1"/>
  </cols>
  <sheetData>
    <row r="1" spans="1:12">
      <c r="A1" t="s">
        <v>219</v>
      </c>
      <c r="B1" t="s">
        <v>228</v>
      </c>
      <c r="C1" t="s">
        <v>229</v>
      </c>
      <c r="D1" t="s">
        <v>230</v>
      </c>
      <c r="E1" t="s">
        <v>231</v>
      </c>
      <c r="F1" t="s">
        <v>353</v>
      </c>
      <c r="G1" t="s">
        <v>1</v>
      </c>
    </row>
    <row r="2" spans="1:12">
      <c r="A2">
        <v>4</v>
      </c>
      <c r="B2">
        <v>4</v>
      </c>
      <c r="C2" t="s">
        <v>232</v>
      </c>
      <c r="D2">
        <v>5</v>
      </c>
      <c r="E2" t="s">
        <v>233</v>
      </c>
      <c r="F2" t="s">
        <v>354</v>
      </c>
      <c r="G2" t="s">
        <v>434</v>
      </c>
    </row>
    <row r="3" spans="1:12">
      <c r="A3">
        <v>6</v>
      </c>
      <c r="B3">
        <v>4</v>
      </c>
      <c r="C3" t="s">
        <v>234</v>
      </c>
      <c r="D3">
        <v>5</v>
      </c>
      <c r="E3" t="s">
        <v>235</v>
      </c>
      <c r="F3" t="s">
        <v>354</v>
      </c>
      <c r="G3" t="s">
        <v>434</v>
      </c>
    </row>
    <row r="4" spans="1:12">
      <c r="A4">
        <v>20</v>
      </c>
      <c r="B4">
        <v>4</v>
      </c>
      <c r="C4" t="s">
        <v>236</v>
      </c>
      <c r="D4">
        <v>4</v>
      </c>
      <c r="E4" t="s">
        <v>237</v>
      </c>
      <c r="F4" t="s">
        <v>354</v>
      </c>
      <c r="G4" t="s">
        <v>434</v>
      </c>
    </row>
    <row r="5" spans="1:12">
      <c r="A5">
        <v>23</v>
      </c>
      <c r="B5">
        <v>4</v>
      </c>
      <c r="C5" t="s">
        <v>238</v>
      </c>
      <c r="D5">
        <v>4</v>
      </c>
      <c r="E5" t="s">
        <v>239</v>
      </c>
      <c r="F5" t="s">
        <v>354</v>
      </c>
      <c r="G5" t="s">
        <v>434</v>
      </c>
    </row>
    <row r="6" spans="1:12">
      <c r="A6">
        <v>29</v>
      </c>
      <c r="B6">
        <v>4</v>
      </c>
      <c r="C6" t="s">
        <v>240</v>
      </c>
      <c r="D6">
        <v>5</v>
      </c>
      <c r="E6" t="s">
        <v>241</v>
      </c>
      <c r="F6" t="s">
        <v>354</v>
      </c>
      <c r="G6" t="s">
        <v>434</v>
      </c>
      <c r="H6" s="19"/>
      <c r="I6" s="19"/>
      <c r="J6" s="19"/>
      <c r="K6" s="19"/>
      <c r="L6" s="19"/>
    </row>
    <row r="7" spans="1:12">
      <c r="A7">
        <v>34</v>
      </c>
      <c r="B7">
        <v>4</v>
      </c>
      <c r="C7" t="s">
        <v>242</v>
      </c>
      <c r="D7">
        <v>5</v>
      </c>
      <c r="E7" t="s">
        <v>243</v>
      </c>
      <c r="F7" t="s">
        <v>354</v>
      </c>
      <c r="G7" t="s">
        <v>434</v>
      </c>
    </row>
    <row r="8" spans="1:12">
      <c r="A8">
        <v>64</v>
      </c>
      <c r="B8">
        <v>4</v>
      </c>
      <c r="C8" t="s">
        <v>244</v>
      </c>
      <c r="D8">
        <v>5</v>
      </c>
      <c r="E8" t="s">
        <v>245</v>
      </c>
      <c r="F8" t="s">
        <v>354</v>
      </c>
      <c r="G8" t="s">
        <v>434</v>
      </c>
    </row>
    <row r="9" spans="1:12">
      <c r="A9">
        <v>70</v>
      </c>
      <c r="B9">
        <v>4</v>
      </c>
      <c r="C9" t="s">
        <v>246</v>
      </c>
      <c r="D9">
        <v>4</v>
      </c>
      <c r="E9" t="s">
        <v>247</v>
      </c>
      <c r="F9" t="s">
        <v>354</v>
      </c>
      <c r="G9" t="s">
        <v>434</v>
      </c>
    </row>
    <row r="10" spans="1:12">
      <c r="A10">
        <v>79</v>
      </c>
      <c r="B10">
        <v>4</v>
      </c>
      <c r="C10" t="s">
        <v>248</v>
      </c>
      <c r="D10">
        <v>5</v>
      </c>
      <c r="E10" t="s">
        <v>249</v>
      </c>
      <c r="F10" t="s">
        <v>354</v>
      </c>
      <c r="G10" t="s">
        <v>434</v>
      </c>
    </row>
    <row r="11" spans="1:12">
      <c r="A11">
        <v>81</v>
      </c>
      <c r="B11">
        <v>4</v>
      </c>
      <c r="C11" t="s">
        <v>250</v>
      </c>
      <c r="D11">
        <v>5</v>
      </c>
      <c r="E11" t="s">
        <v>251</v>
      </c>
      <c r="F11" t="s">
        <v>354</v>
      </c>
      <c r="G11" t="s">
        <v>434</v>
      </c>
    </row>
    <row r="12" spans="1:12">
      <c r="A12">
        <v>104</v>
      </c>
      <c r="B12">
        <v>1</v>
      </c>
      <c r="C12" t="s">
        <v>252</v>
      </c>
      <c r="D12">
        <v>1</v>
      </c>
      <c r="E12" t="s">
        <v>253</v>
      </c>
      <c r="F12" t="s">
        <v>354</v>
      </c>
      <c r="G12" t="s">
        <v>434</v>
      </c>
    </row>
    <row r="13" spans="1:12">
      <c r="A13">
        <v>140</v>
      </c>
      <c r="B13">
        <v>1</v>
      </c>
      <c r="C13" t="s">
        <v>254</v>
      </c>
      <c r="D13">
        <v>1</v>
      </c>
      <c r="E13" t="s">
        <v>255</v>
      </c>
      <c r="F13" t="s">
        <v>354</v>
      </c>
      <c r="G13" t="s">
        <v>434</v>
      </c>
    </row>
    <row r="14" spans="1:12">
      <c r="A14">
        <v>146</v>
      </c>
      <c r="B14">
        <v>1</v>
      </c>
      <c r="C14" t="s">
        <v>256</v>
      </c>
      <c r="D14">
        <v>1</v>
      </c>
      <c r="E14" t="s">
        <v>257</v>
      </c>
      <c r="F14" t="s">
        <v>354</v>
      </c>
      <c r="G14" t="s">
        <v>434</v>
      </c>
    </row>
    <row r="15" spans="1:12">
      <c r="A15">
        <v>157</v>
      </c>
      <c r="B15">
        <v>4</v>
      </c>
      <c r="C15" t="s">
        <v>258</v>
      </c>
      <c r="D15">
        <v>5</v>
      </c>
      <c r="E15" t="s">
        <v>259</v>
      </c>
      <c r="F15" t="s">
        <v>354</v>
      </c>
      <c r="G15" t="s">
        <v>434</v>
      </c>
    </row>
    <row r="16" spans="1:12">
      <c r="A16">
        <v>177</v>
      </c>
      <c r="B16">
        <v>4</v>
      </c>
      <c r="C16" t="s">
        <v>260</v>
      </c>
      <c r="D16">
        <v>5</v>
      </c>
      <c r="E16" t="s">
        <v>261</v>
      </c>
      <c r="F16" t="s">
        <v>354</v>
      </c>
      <c r="G16" t="s">
        <v>434</v>
      </c>
    </row>
    <row r="17" spans="1:7">
      <c r="A17">
        <v>190</v>
      </c>
      <c r="B17">
        <v>4</v>
      </c>
      <c r="C17" t="s">
        <v>262</v>
      </c>
      <c r="D17">
        <v>4</v>
      </c>
      <c r="E17" t="s">
        <v>263</v>
      </c>
      <c r="F17" t="s">
        <v>354</v>
      </c>
      <c r="G17" t="s">
        <v>434</v>
      </c>
    </row>
    <row r="18" spans="1:7">
      <c r="A18">
        <v>197</v>
      </c>
      <c r="B18">
        <v>4</v>
      </c>
      <c r="C18" t="s">
        <v>264</v>
      </c>
      <c r="D18">
        <v>5</v>
      </c>
      <c r="E18" t="s">
        <v>265</v>
      </c>
      <c r="F18" t="s">
        <v>354</v>
      </c>
      <c r="G18" t="s">
        <v>434</v>
      </c>
    </row>
    <row r="19" spans="1:7">
      <c r="A19">
        <v>216</v>
      </c>
      <c r="B19">
        <v>4</v>
      </c>
      <c r="C19" t="s">
        <v>266</v>
      </c>
      <c r="D19">
        <v>5</v>
      </c>
      <c r="E19" t="s">
        <v>267</v>
      </c>
      <c r="F19" t="s">
        <v>354</v>
      </c>
      <c r="G19" t="s">
        <v>434</v>
      </c>
    </row>
    <row r="20" spans="1:7">
      <c r="A20">
        <v>231</v>
      </c>
      <c r="B20">
        <v>4</v>
      </c>
      <c r="C20" t="s">
        <v>268</v>
      </c>
      <c r="D20">
        <v>4</v>
      </c>
      <c r="E20" t="s">
        <v>269</v>
      </c>
      <c r="F20" t="s">
        <v>354</v>
      </c>
      <c r="G20" t="s">
        <v>434</v>
      </c>
    </row>
    <row r="21" spans="1:7">
      <c r="A21">
        <v>236</v>
      </c>
      <c r="B21">
        <v>4</v>
      </c>
      <c r="C21" t="s">
        <v>270</v>
      </c>
      <c r="D21">
        <v>5</v>
      </c>
      <c r="E21" t="s">
        <v>271</v>
      </c>
      <c r="F21" t="s">
        <v>354</v>
      </c>
      <c r="G21" t="s">
        <v>434</v>
      </c>
    </row>
    <row r="22" spans="1:7">
      <c r="A22">
        <v>253</v>
      </c>
      <c r="B22">
        <v>4</v>
      </c>
      <c r="C22" t="s">
        <v>273</v>
      </c>
      <c r="D22">
        <v>5</v>
      </c>
      <c r="E22" t="s">
        <v>274</v>
      </c>
      <c r="F22" t="s">
        <v>354</v>
      </c>
      <c r="G22" t="s">
        <v>434</v>
      </c>
    </row>
    <row r="23" spans="1:7">
      <c r="A23">
        <v>255</v>
      </c>
      <c r="B23">
        <v>4</v>
      </c>
      <c r="C23" t="s">
        <v>275</v>
      </c>
      <c r="D23">
        <v>4</v>
      </c>
      <c r="E23" t="s">
        <v>276</v>
      </c>
      <c r="F23" t="s">
        <v>354</v>
      </c>
      <c r="G23" t="s">
        <v>434</v>
      </c>
    </row>
    <row r="24" spans="1:7">
      <c r="A24">
        <v>284</v>
      </c>
      <c r="B24">
        <v>4</v>
      </c>
      <c r="C24" t="s">
        <v>277</v>
      </c>
      <c r="D24">
        <v>5</v>
      </c>
      <c r="E24" t="s">
        <v>278</v>
      </c>
      <c r="F24" t="s">
        <v>354</v>
      </c>
      <c r="G24" t="s">
        <v>434</v>
      </c>
    </row>
    <row r="25" spans="1:7">
      <c r="A25">
        <v>286</v>
      </c>
      <c r="B25">
        <v>3</v>
      </c>
      <c r="C25" t="s">
        <v>279</v>
      </c>
      <c r="D25">
        <v>4</v>
      </c>
      <c r="E25" t="s">
        <v>280</v>
      </c>
      <c r="F25" t="s">
        <v>354</v>
      </c>
      <c r="G25" t="s">
        <v>434</v>
      </c>
    </row>
    <row r="26" spans="1:7">
      <c r="A26">
        <v>295</v>
      </c>
      <c r="B26">
        <v>3</v>
      </c>
      <c r="C26" t="s">
        <v>281</v>
      </c>
      <c r="D26">
        <v>4</v>
      </c>
      <c r="E26" t="s">
        <v>282</v>
      </c>
      <c r="F26" t="s">
        <v>354</v>
      </c>
      <c r="G26" t="s">
        <v>434</v>
      </c>
    </row>
    <row r="27" spans="1:7">
      <c r="A27">
        <v>298</v>
      </c>
      <c r="B27">
        <v>4</v>
      </c>
      <c r="C27" t="s">
        <v>283</v>
      </c>
      <c r="D27">
        <v>5</v>
      </c>
      <c r="E27" t="s">
        <v>284</v>
      </c>
      <c r="F27" t="s">
        <v>354</v>
      </c>
      <c r="G27" t="s">
        <v>434</v>
      </c>
    </row>
    <row r="28" spans="1:7">
      <c r="A28">
        <v>3041</v>
      </c>
      <c r="B28">
        <v>4</v>
      </c>
      <c r="C28" t="s">
        <v>285</v>
      </c>
      <c r="D28">
        <v>5</v>
      </c>
      <c r="E28" t="s">
        <v>286</v>
      </c>
      <c r="F28" t="s">
        <v>354</v>
      </c>
      <c r="G28" t="s">
        <v>434</v>
      </c>
    </row>
    <row r="29" spans="1:7">
      <c r="A29">
        <v>304</v>
      </c>
      <c r="B29">
        <v>4</v>
      </c>
      <c r="C29" t="s">
        <v>287</v>
      </c>
      <c r="D29">
        <v>5</v>
      </c>
      <c r="E29" t="s">
        <v>288</v>
      </c>
      <c r="F29" t="s">
        <v>354</v>
      </c>
      <c r="G29" t="s">
        <v>434</v>
      </c>
    </row>
    <row r="30" spans="1:7">
      <c r="A30">
        <v>308</v>
      </c>
      <c r="B30">
        <v>4</v>
      </c>
      <c r="C30" t="s">
        <v>289</v>
      </c>
      <c r="D30">
        <v>4</v>
      </c>
      <c r="E30" t="s">
        <v>290</v>
      </c>
      <c r="F30" t="s">
        <v>354</v>
      </c>
      <c r="G30" t="s">
        <v>434</v>
      </c>
    </row>
    <row r="31" spans="1:7">
      <c r="A31">
        <v>315</v>
      </c>
      <c r="B31">
        <v>5</v>
      </c>
      <c r="C31" t="s">
        <v>291</v>
      </c>
      <c r="D31">
        <v>5</v>
      </c>
      <c r="E31" t="s">
        <v>292</v>
      </c>
      <c r="F31" t="s">
        <v>354</v>
      </c>
      <c r="G31" t="s">
        <v>434</v>
      </c>
    </row>
    <row r="32" spans="1:7">
      <c r="A32">
        <v>343</v>
      </c>
      <c r="B32">
        <v>5</v>
      </c>
      <c r="C32" t="s">
        <v>293</v>
      </c>
      <c r="D32">
        <v>4</v>
      </c>
      <c r="E32" t="s">
        <v>294</v>
      </c>
      <c r="F32" t="s">
        <v>354</v>
      </c>
      <c r="G32" t="s">
        <v>434</v>
      </c>
    </row>
    <row r="33" spans="1:7">
      <c r="A33">
        <v>346</v>
      </c>
      <c r="B33">
        <v>5</v>
      </c>
      <c r="C33" t="s">
        <v>295</v>
      </c>
      <c r="D33">
        <v>5</v>
      </c>
      <c r="E33" t="s">
        <v>296</v>
      </c>
      <c r="F33" t="s">
        <v>354</v>
      </c>
      <c r="G33" t="s">
        <v>434</v>
      </c>
    </row>
    <row r="34" spans="1:7">
      <c r="A34">
        <v>350</v>
      </c>
      <c r="B34">
        <v>3</v>
      </c>
      <c r="C34" t="s">
        <v>297</v>
      </c>
      <c r="D34">
        <v>5</v>
      </c>
      <c r="E34" t="s">
        <v>298</v>
      </c>
      <c r="F34" t="s">
        <v>354</v>
      </c>
      <c r="G34" t="s">
        <v>434</v>
      </c>
    </row>
    <row r="35" spans="1:7">
      <c r="A35">
        <v>357</v>
      </c>
      <c r="B35">
        <v>3</v>
      </c>
      <c r="C35" t="s">
        <v>299</v>
      </c>
      <c r="D35">
        <v>5</v>
      </c>
      <c r="E35" t="s">
        <v>300</v>
      </c>
      <c r="F35" t="s">
        <v>354</v>
      </c>
      <c r="G35" t="s">
        <v>434</v>
      </c>
    </row>
    <row r="36" spans="1:7">
      <c r="A36">
        <v>366</v>
      </c>
      <c r="B36">
        <v>4</v>
      </c>
      <c r="C36" t="s">
        <v>301</v>
      </c>
      <c r="D36">
        <v>5</v>
      </c>
      <c r="E36" t="s">
        <v>302</v>
      </c>
      <c r="F36" t="s">
        <v>354</v>
      </c>
      <c r="G36" t="s">
        <v>434</v>
      </c>
    </row>
    <row r="37" spans="1:7">
      <c r="A37">
        <v>3771</v>
      </c>
      <c r="B37">
        <v>4</v>
      </c>
      <c r="C37" t="s">
        <v>303</v>
      </c>
      <c r="D37">
        <v>5</v>
      </c>
      <c r="E37" t="s">
        <v>304</v>
      </c>
      <c r="F37" t="s">
        <v>354</v>
      </c>
      <c r="G37" t="s">
        <v>434</v>
      </c>
    </row>
    <row r="38" spans="1:7">
      <c r="A38">
        <v>377</v>
      </c>
      <c r="B38">
        <v>4</v>
      </c>
      <c r="C38" t="s">
        <v>305</v>
      </c>
      <c r="D38">
        <v>5</v>
      </c>
      <c r="E38" t="s">
        <v>306</v>
      </c>
      <c r="F38" t="s">
        <v>354</v>
      </c>
      <c r="G38" t="s">
        <v>434</v>
      </c>
    </row>
    <row r="39" spans="1:7">
      <c r="A39">
        <v>386</v>
      </c>
      <c r="B39">
        <v>4</v>
      </c>
      <c r="C39" t="s">
        <v>307</v>
      </c>
      <c r="D39">
        <v>5</v>
      </c>
      <c r="E39" t="s">
        <v>308</v>
      </c>
      <c r="F39" t="s">
        <v>354</v>
      </c>
      <c r="G39" t="s">
        <v>434</v>
      </c>
    </row>
    <row r="40" spans="1:7">
      <c r="A40">
        <v>390</v>
      </c>
      <c r="B40">
        <v>4</v>
      </c>
      <c r="C40" t="s">
        <v>309</v>
      </c>
      <c r="D40">
        <v>5</v>
      </c>
      <c r="E40" t="s">
        <v>310</v>
      </c>
      <c r="F40" t="s">
        <v>354</v>
      </c>
      <c r="G40" t="s">
        <v>434</v>
      </c>
    </row>
    <row r="41" spans="1:7">
      <c r="A41">
        <v>395</v>
      </c>
      <c r="B41">
        <v>5</v>
      </c>
      <c r="C41" t="s">
        <v>311</v>
      </c>
      <c r="D41">
        <v>5</v>
      </c>
      <c r="E41" t="s">
        <v>312</v>
      </c>
      <c r="F41" t="s">
        <v>354</v>
      </c>
      <c r="G41" t="s">
        <v>434</v>
      </c>
    </row>
    <row r="42" spans="1:7">
      <c r="A42">
        <v>396</v>
      </c>
      <c r="B42">
        <v>4</v>
      </c>
      <c r="C42" t="s">
        <v>313</v>
      </c>
      <c r="D42">
        <v>4</v>
      </c>
      <c r="E42" t="s">
        <v>314</v>
      </c>
      <c r="F42" t="s">
        <v>354</v>
      </c>
      <c r="G42" t="s">
        <v>434</v>
      </c>
    </row>
    <row r="43" spans="1:7">
      <c r="A43">
        <v>400</v>
      </c>
      <c r="B43">
        <v>4</v>
      </c>
      <c r="C43" t="s">
        <v>315</v>
      </c>
      <c r="D43">
        <v>5</v>
      </c>
      <c r="E43" t="s">
        <v>316</v>
      </c>
      <c r="F43" t="s">
        <v>354</v>
      </c>
      <c r="G43" t="s">
        <v>434</v>
      </c>
    </row>
    <row r="44" spans="1:7">
      <c r="A44">
        <v>408</v>
      </c>
      <c r="B44">
        <v>4</v>
      </c>
      <c r="C44" t="s">
        <v>317</v>
      </c>
      <c r="D44">
        <v>5</v>
      </c>
      <c r="E44" t="s">
        <v>318</v>
      </c>
      <c r="F44" t="s">
        <v>354</v>
      </c>
      <c r="G44" t="s">
        <v>434</v>
      </c>
    </row>
    <row r="45" spans="1:7">
      <c r="A45">
        <v>450</v>
      </c>
      <c r="B45">
        <v>4</v>
      </c>
      <c r="C45" t="s">
        <v>319</v>
      </c>
      <c r="D45">
        <v>4</v>
      </c>
      <c r="E45" t="s">
        <v>320</v>
      </c>
      <c r="F45" t="s">
        <v>354</v>
      </c>
      <c r="G45" t="s">
        <v>434</v>
      </c>
    </row>
    <row r="46" spans="1:7">
      <c r="A46">
        <v>462</v>
      </c>
      <c r="B46">
        <v>4</v>
      </c>
      <c r="C46" t="s">
        <v>321</v>
      </c>
      <c r="D46">
        <v>4</v>
      </c>
      <c r="E46" t="s">
        <v>322</v>
      </c>
      <c r="F46" t="s">
        <v>354</v>
      </c>
      <c r="G46" t="s">
        <v>434</v>
      </c>
    </row>
    <row r="47" spans="1:7">
      <c r="A47">
        <v>477</v>
      </c>
      <c r="B47">
        <v>4</v>
      </c>
      <c r="C47" t="s">
        <v>323</v>
      </c>
      <c r="D47">
        <v>5</v>
      </c>
      <c r="E47" t="s">
        <v>324</v>
      </c>
      <c r="F47" t="s">
        <v>354</v>
      </c>
      <c r="G47" t="s">
        <v>434</v>
      </c>
    </row>
    <row r="48" spans="1:7">
      <c r="A48">
        <v>480</v>
      </c>
      <c r="B48">
        <v>3</v>
      </c>
      <c r="C48" t="s">
        <v>325</v>
      </c>
      <c r="D48">
        <v>5</v>
      </c>
      <c r="E48" t="s">
        <v>326</v>
      </c>
      <c r="F48" t="s">
        <v>354</v>
      </c>
      <c r="G48" t="s">
        <v>434</v>
      </c>
    </row>
    <row r="49" spans="1:7">
      <c r="A49">
        <v>495</v>
      </c>
      <c r="B49">
        <v>4</v>
      </c>
      <c r="C49" t="s">
        <v>327</v>
      </c>
      <c r="D49">
        <v>4</v>
      </c>
      <c r="E49" t="s">
        <v>328</v>
      </c>
      <c r="F49" t="s">
        <v>354</v>
      </c>
      <c r="G49" t="s">
        <v>434</v>
      </c>
    </row>
    <row r="50" spans="1:7">
      <c r="A50">
        <v>503</v>
      </c>
      <c r="B50">
        <v>4</v>
      </c>
      <c r="C50" t="s">
        <v>329</v>
      </c>
      <c r="D50">
        <v>5</v>
      </c>
      <c r="E50" t="s">
        <v>330</v>
      </c>
      <c r="F50" t="s">
        <v>354</v>
      </c>
      <c r="G50" t="s">
        <v>434</v>
      </c>
    </row>
    <row r="51" spans="1:7">
      <c r="A51">
        <v>508</v>
      </c>
      <c r="B51">
        <v>4</v>
      </c>
      <c r="C51" t="s">
        <v>331</v>
      </c>
      <c r="D51">
        <v>5</v>
      </c>
      <c r="E51" t="s">
        <v>332</v>
      </c>
      <c r="F51" t="s">
        <v>354</v>
      </c>
      <c r="G51" t="s">
        <v>434</v>
      </c>
    </row>
    <row r="52" spans="1:7">
      <c r="A52">
        <v>520</v>
      </c>
      <c r="B52">
        <v>4</v>
      </c>
      <c r="C52" t="s">
        <v>333</v>
      </c>
      <c r="D52">
        <v>5</v>
      </c>
      <c r="E52" t="s">
        <v>334</v>
      </c>
      <c r="F52" t="s">
        <v>354</v>
      </c>
      <c r="G52" t="s">
        <v>434</v>
      </c>
    </row>
    <row r="53" spans="1:7">
      <c r="A53">
        <v>540</v>
      </c>
      <c r="B53">
        <v>4</v>
      </c>
      <c r="C53" t="s">
        <v>335</v>
      </c>
      <c r="D53">
        <v>5</v>
      </c>
      <c r="E53" t="s">
        <v>336</v>
      </c>
      <c r="F53" t="s">
        <v>354</v>
      </c>
      <c r="G53" t="s">
        <v>434</v>
      </c>
    </row>
    <row r="54" spans="1:7">
      <c r="A54">
        <v>548</v>
      </c>
      <c r="B54">
        <v>3</v>
      </c>
      <c r="C54" t="s">
        <v>337</v>
      </c>
      <c r="D54">
        <v>5</v>
      </c>
      <c r="E54" t="s">
        <v>338</v>
      </c>
      <c r="F54" t="s">
        <v>354</v>
      </c>
      <c r="G54" t="s">
        <v>434</v>
      </c>
    </row>
    <row r="55" spans="1:7">
      <c r="A55">
        <v>559</v>
      </c>
      <c r="B55">
        <v>3</v>
      </c>
      <c r="C55" t="s">
        <v>339</v>
      </c>
      <c r="D55">
        <v>4</v>
      </c>
      <c r="E55" t="s">
        <v>340</v>
      </c>
      <c r="F55" t="s">
        <v>354</v>
      </c>
      <c r="G55" t="s">
        <v>434</v>
      </c>
    </row>
    <row r="56" spans="1:7">
      <c r="A56">
        <v>560</v>
      </c>
      <c r="B56">
        <v>4</v>
      </c>
      <c r="C56" t="s">
        <v>341</v>
      </c>
      <c r="D56">
        <v>5</v>
      </c>
      <c r="E56" t="s">
        <v>342</v>
      </c>
      <c r="F56" t="s">
        <v>354</v>
      </c>
      <c r="G56" t="s">
        <v>434</v>
      </c>
    </row>
    <row r="57" spans="1:7">
      <c r="A57">
        <v>561</v>
      </c>
      <c r="B57">
        <v>4</v>
      </c>
      <c r="C57" t="s">
        <v>343</v>
      </c>
      <c r="D57">
        <v>5</v>
      </c>
      <c r="E57" t="s">
        <v>344</v>
      </c>
      <c r="F57" t="s">
        <v>354</v>
      </c>
      <c r="G57" t="s">
        <v>434</v>
      </c>
    </row>
    <row r="58" spans="1:7">
      <c r="A58">
        <v>571</v>
      </c>
      <c r="B58">
        <v>3</v>
      </c>
      <c r="C58" t="s">
        <v>345</v>
      </c>
      <c r="D58">
        <v>4</v>
      </c>
      <c r="E58" t="s">
        <v>346</v>
      </c>
      <c r="F58" t="s">
        <v>354</v>
      </c>
      <c r="G58" t="s">
        <v>434</v>
      </c>
    </row>
    <row r="59" spans="1:7">
      <c r="A59">
        <v>572</v>
      </c>
      <c r="B59">
        <v>3</v>
      </c>
      <c r="C59" t="s">
        <v>347</v>
      </c>
      <c r="D59">
        <v>5</v>
      </c>
      <c r="E59" t="s">
        <v>348</v>
      </c>
      <c r="F59" t="s">
        <v>354</v>
      </c>
      <c r="G59" t="s">
        <v>434</v>
      </c>
    </row>
    <row r="60" spans="1:7">
      <c r="A60">
        <v>607</v>
      </c>
      <c r="B60">
        <v>4</v>
      </c>
      <c r="C60" t="s">
        <v>349</v>
      </c>
      <c r="D60">
        <v>5</v>
      </c>
      <c r="E60" t="s">
        <v>350</v>
      </c>
      <c r="F60" t="s">
        <v>354</v>
      </c>
      <c r="G60" t="s">
        <v>434</v>
      </c>
    </row>
    <row r="61" spans="1:7">
      <c r="A61">
        <v>621</v>
      </c>
      <c r="B61">
        <v>4</v>
      </c>
      <c r="C61" t="s">
        <v>351</v>
      </c>
      <c r="D61">
        <v>4</v>
      </c>
      <c r="E61" t="s">
        <v>352</v>
      </c>
      <c r="F61" t="s">
        <v>354</v>
      </c>
      <c r="G61" t="s">
        <v>434</v>
      </c>
    </row>
    <row r="62" spans="1:7">
      <c r="A62">
        <v>643</v>
      </c>
      <c r="B62">
        <v>4</v>
      </c>
      <c r="C62" t="s">
        <v>355</v>
      </c>
      <c r="D62">
        <v>4</v>
      </c>
      <c r="E62" t="s">
        <v>356</v>
      </c>
      <c r="F62" t="s">
        <v>354</v>
      </c>
      <c r="G62" t="s">
        <v>434</v>
      </c>
    </row>
    <row r="63" spans="1:7">
      <c r="A63">
        <v>646</v>
      </c>
      <c r="B63">
        <v>2</v>
      </c>
      <c r="C63" t="s">
        <v>357</v>
      </c>
      <c r="D63">
        <v>3</v>
      </c>
      <c r="E63" t="s">
        <v>358</v>
      </c>
      <c r="F63" t="s">
        <v>354</v>
      </c>
      <c r="G63" t="s">
        <v>434</v>
      </c>
    </row>
    <row r="64" spans="1:7">
      <c r="A64">
        <v>649</v>
      </c>
      <c r="B64">
        <v>4</v>
      </c>
      <c r="C64" t="s">
        <v>359</v>
      </c>
      <c r="D64">
        <v>5</v>
      </c>
      <c r="E64" t="s">
        <v>360</v>
      </c>
      <c r="F64" t="s">
        <v>354</v>
      </c>
      <c r="G64" t="s">
        <v>434</v>
      </c>
    </row>
    <row r="65" spans="1:7">
      <c r="A65">
        <v>655</v>
      </c>
      <c r="B65">
        <v>4</v>
      </c>
      <c r="C65" t="s">
        <v>361</v>
      </c>
      <c r="D65">
        <v>5</v>
      </c>
      <c r="E65" t="s">
        <v>362</v>
      </c>
      <c r="F65" t="s">
        <v>354</v>
      </c>
      <c r="G65" t="s">
        <v>434</v>
      </c>
    </row>
    <row r="66" spans="1:7">
      <c r="A66">
        <v>674</v>
      </c>
      <c r="B66">
        <v>3</v>
      </c>
      <c r="C66" t="s">
        <v>363</v>
      </c>
      <c r="D66">
        <v>5</v>
      </c>
      <c r="E66" t="s">
        <v>364</v>
      </c>
      <c r="F66" t="s">
        <v>354</v>
      </c>
      <c r="G66" t="s">
        <v>434</v>
      </c>
    </row>
    <row r="67" spans="1:7">
      <c r="A67">
        <v>676</v>
      </c>
      <c r="B67">
        <v>2</v>
      </c>
      <c r="C67" t="s">
        <v>365</v>
      </c>
      <c r="D67">
        <v>3</v>
      </c>
      <c r="E67" t="s">
        <v>366</v>
      </c>
      <c r="F67" t="s">
        <v>354</v>
      </c>
      <c r="G67" t="s">
        <v>434</v>
      </c>
    </row>
    <row r="68" spans="1:7">
      <c r="A68">
        <v>681</v>
      </c>
      <c r="B68">
        <v>4</v>
      </c>
      <c r="C68" t="s">
        <v>367</v>
      </c>
      <c r="D68">
        <v>5</v>
      </c>
      <c r="E68" t="s">
        <v>368</v>
      </c>
      <c r="F68" t="s">
        <v>354</v>
      </c>
      <c r="G68" t="s">
        <v>434</v>
      </c>
    </row>
    <row r="69" spans="1:7">
      <c r="A69">
        <v>691</v>
      </c>
      <c r="B69">
        <v>4</v>
      </c>
      <c r="C69" t="s">
        <v>369</v>
      </c>
      <c r="D69">
        <v>5</v>
      </c>
      <c r="E69" t="s">
        <v>370</v>
      </c>
      <c r="F69" t="s">
        <v>354</v>
      </c>
      <c r="G69" t="s">
        <v>434</v>
      </c>
    </row>
    <row r="70" spans="1:7">
      <c r="A70">
        <v>711</v>
      </c>
      <c r="B70">
        <v>3</v>
      </c>
      <c r="C70" t="s">
        <v>371</v>
      </c>
      <c r="D70">
        <v>4</v>
      </c>
      <c r="E70" t="s">
        <v>372</v>
      </c>
      <c r="F70" t="s">
        <v>354</v>
      </c>
      <c r="G70" t="s">
        <v>434</v>
      </c>
    </row>
    <row r="71" spans="1:7">
      <c r="A71">
        <v>734</v>
      </c>
      <c r="B71">
        <v>4</v>
      </c>
      <c r="C71" t="s">
        <v>373</v>
      </c>
      <c r="D71">
        <v>5</v>
      </c>
      <c r="E71" t="s">
        <v>374</v>
      </c>
      <c r="F71" t="s">
        <v>354</v>
      </c>
      <c r="G71" t="s">
        <v>434</v>
      </c>
    </row>
    <row r="72" spans="1:7">
      <c r="A72">
        <v>739</v>
      </c>
      <c r="B72">
        <v>4</v>
      </c>
      <c r="C72" t="s">
        <v>375</v>
      </c>
      <c r="D72">
        <v>5</v>
      </c>
      <c r="E72" t="s">
        <v>376</v>
      </c>
      <c r="F72" t="s">
        <v>354</v>
      </c>
      <c r="G72" t="s">
        <v>434</v>
      </c>
    </row>
    <row r="73" spans="1:7">
      <c r="A73">
        <v>740</v>
      </c>
      <c r="B73">
        <v>3</v>
      </c>
      <c r="C73" t="s">
        <v>431</v>
      </c>
      <c r="D73">
        <v>2</v>
      </c>
      <c r="E73" t="s">
        <v>432</v>
      </c>
      <c r="F73" t="s">
        <v>354</v>
      </c>
      <c r="G73" t="s">
        <v>434</v>
      </c>
    </row>
    <row r="74" spans="1:7">
      <c r="A74">
        <v>750</v>
      </c>
      <c r="B74">
        <v>4</v>
      </c>
      <c r="C74" t="s">
        <v>377</v>
      </c>
      <c r="D74">
        <v>5</v>
      </c>
      <c r="E74" t="s">
        <v>378</v>
      </c>
      <c r="F74" t="s">
        <v>354</v>
      </c>
      <c r="G74" t="s">
        <v>434</v>
      </c>
    </row>
    <row r="75" spans="1:7">
      <c r="A75">
        <v>765</v>
      </c>
      <c r="B75">
        <v>4</v>
      </c>
      <c r="C75" t="s">
        <v>379</v>
      </c>
      <c r="D75">
        <v>5</v>
      </c>
      <c r="E75" t="s">
        <v>380</v>
      </c>
      <c r="F75" t="s">
        <v>354</v>
      </c>
      <c r="G75" t="s">
        <v>434</v>
      </c>
    </row>
    <row r="76" spans="1:7">
      <c r="A76">
        <v>773</v>
      </c>
      <c r="B76">
        <v>4</v>
      </c>
      <c r="C76" t="s">
        <v>381</v>
      </c>
      <c r="D76">
        <v>5</v>
      </c>
      <c r="E76" t="s">
        <v>382</v>
      </c>
      <c r="F76" t="s">
        <v>354</v>
      </c>
      <c r="G76" t="s">
        <v>434</v>
      </c>
    </row>
    <row r="77" spans="1:7">
      <c r="A77">
        <v>776</v>
      </c>
      <c r="B77">
        <v>4</v>
      </c>
      <c r="C77" t="s">
        <v>383</v>
      </c>
      <c r="D77">
        <v>5</v>
      </c>
      <c r="E77" t="s">
        <v>384</v>
      </c>
      <c r="F77" t="s">
        <v>354</v>
      </c>
      <c r="G77" t="s">
        <v>434</v>
      </c>
    </row>
    <row r="78" spans="1:7">
      <c r="A78">
        <v>788</v>
      </c>
      <c r="B78">
        <v>4</v>
      </c>
      <c r="C78" t="s">
        <v>385</v>
      </c>
      <c r="D78">
        <v>5</v>
      </c>
      <c r="E78" t="s">
        <v>386</v>
      </c>
      <c r="F78" t="s">
        <v>354</v>
      </c>
      <c r="G78" t="s">
        <v>434</v>
      </c>
    </row>
    <row r="79" spans="1:7">
      <c r="A79">
        <v>791</v>
      </c>
      <c r="B79">
        <v>4</v>
      </c>
      <c r="C79" t="s">
        <v>387</v>
      </c>
      <c r="D79">
        <v>5</v>
      </c>
      <c r="E79" t="s">
        <v>388</v>
      </c>
      <c r="F79" t="s">
        <v>354</v>
      </c>
      <c r="G79" t="s">
        <v>434</v>
      </c>
    </row>
    <row r="80" spans="1:7">
      <c r="A80">
        <v>805</v>
      </c>
      <c r="B80">
        <v>4</v>
      </c>
      <c r="C80" t="s">
        <v>389</v>
      </c>
      <c r="D80">
        <v>5</v>
      </c>
      <c r="E80" t="s">
        <v>390</v>
      </c>
      <c r="F80" t="s">
        <v>354</v>
      </c>
      <c r="G80" t="s">
        <v>434</v>
      </c>
    </row>
    <row r="81" spans="1:7">
      <c r="A81">
        <v>806</v>
      </c>
      <c r="B81">
        <v>4</v>
      </c>
      <c r="C81" t="s">
        <v>391</v>
      </c>
      <c r="D81">
        <v>5</v>
      </c>
      <c r="E81" t="s">
        <v>392</v>
      </c>
      <c r="F81" t="s">
        <v>354</v>
      </c>
      <c r="G81" t="s">
        <v>434</v>
      </c>
    </row>
    <row r="82" spans="1:7">
      <c r="A82">
        <v>815</v>
      </c>
      <c r="B82">
        <v>4</v>
      </c>
      <c r="C82" t="s">
        <v>393</v>
      </c>
      <c r="D82">
        <v>5</v>
      </c>
      <c r="E82" t="s">
        <v>394</v>
      </c>
      <c r="F82" t="s">
        <v>354</v>
      </c>
      <c r="G82" t="s">
        <v>434</v>
      </c>
    </row>
    <row r="83" spans="1:7">
      <c r="A83">
        <v>838</v>
      </c>
      <c r="B83">
        <v>5</v>
      </c>
      <c r="C83" t="s">
        <v>395</v>
      </c>
      <c r="D83">
        <v>5</v>
      </c>
      <c r="E83" t="s">
        <v>396</v>
      </c>
      <c r="F83" t="s">
        <v>354</v>
      </c>
      <c r="G83" t="s">
        <v>434</v>
      </c>
    </row>
    <row r="84" spans="1:7">
      <c r="A84">
        <v>855</v>
      </c>
      <c r="B84">
        <v>5</v>
      </c>
      <c r="C84" t="s">
        <v>397</v>
      </c>
      <c r="D84">
        <v>5</v>
      </c>
      <c r="E84" t="s">
        <v>398</v>
      </c>
      <c r="F84" t="s">
        <v>354</v>
      </c>
      <c r="G84" t="s">
        <v>434</v>
      </c>
    </row>
    <row r="85" spans="1:7">
      <c r="A85">
        <v>856</v>
      </c>
      <c r="B85">
        <v>5</v>
      </c>
      <c r="C85" t="s">
        <v>399</v>
      </c>
      <c r="D85">
        <v>5</v>
      </c>
      <c r="E85" t="s">
        <v>400</v>
      </c>
      <c r="F85" t="s">
        <v>354</v>
      </c>
      <c r="G85" t="s">
        <v>434</v>
      </c>
    </row>
    <row r="86" spans="1:7">
      <c r="A86">
        <v>874</v>
      </c>
      <c r="B86">
        <v>4</v>
      </c>
      <c r="C86" t="s">
        <v>401</v>
      </c>
      <c r="D86">
        <v>5</v>
      </c>
      <c r="E86" t="s">
        <v>402</v>
      </c>
      <c r="F86" t="s">
        <v>354</v>
      </c>
      <c r="G86" t="s">
        <v>434</v>
      </c>
    </row>
    <row r="87" spans="1:7">
      <c r="A87">
        <v>883</v>
      </c>
      <c r="B87">
        <v>4</v>
      </c>
      <c r="C87" t="s">
        <v>403</v>
      </c>
      <c r="D87">
        <v>5</v>
      </c>
      <c r="E87" t="s">
        <v>404</v>
      </c>
      <c r="F87" t="s">
        <v>354</v>
      </c>
      <c r="G87" t="s">
        <v>434</v>
      </c>
    </row>
    <row r="88" spans="1:7">
      <c r="A88">
        <v>895</v>
      </c>
      <c r="B88">
        <v>4</v>
      </c>
      <c r="C88" t="s">
        <v>405</v>
      </c>
      <c r="D88">
        <v>5</v>
      </c>
      <c r="E88" t="s">
        <v>406</v>
      </c>
      <c r="F88" t="s">
        <v>354</v>
      </c>
      <c r="G88" t="s">
        <v>434</v>
      </c>
    </row>
    <row r="89" spans="1:7">
      <c r="A89">
        <v>8991</v>
      </c>
      <c r="B89">
        <v>5</v>
      </c>
      <c r="C89" t="s">
        <v>407</v>
      </c>
      <c r="D89">
        <v>5</v>
      </c>
      <c r="E89" t="s">
        <v>408</v>
      </c>
      <c r="F89" t="s">
        <v>354</v>
      </c>
      <c r="G89" t="s">
        <v>434</v>
      </c>
    </row>
    <row r="90" spans="1:7">
      <c r="A90">
        <v>899</v>
      </c>
      <c r="B90">
        <v>5</v>
      </c>
      <c r="C90" t="s">
        <v>409</v>
      </c>
      <c r="D90">
        <v>5</v>
      </c>
      <c r="E90" t="s">
        <v>410</v>
      </c>
      <c r="F90" t="s">
        <v>354</v>
      </c>
      <c r="G90" t="s">
        <v>434</v>
      </c>
    </row>
    <row r="91" spans="1:7">
      <c r="A91">
        <v>906</v>
      </c>
      <c r="B91">
        <v>5</v>
      </c>
      <c r="C91" t="s">
        <v>411</v>
      </c>
      <c r="D91">
        <v>5</v>
      </c>
      <c r="E91" t="s">
        <v>412</v>
      </c>
      <c r="F91" t="s">
        <v>354</v>
      </c>
      <c r="G91" t="s">
        <v>434</v>
      </c>
    </row>
    <row r="92" spans="1:7">
      <c r="A92">
        <v>907</v>
      </c>
      <c r="B92">
        <v>4</v>
      </c>
      <c r="C92" t="s">
        <v>413</v>
      </c>
      <c r="D92">
        <v>5</v>
      </c>
      <c r="E92" t="s">
        <v>414</v>
      </c>
      <c r="F92" t="s">
        <v>354</v>
      </c>
      <c r="G92" t="s">
        <v>434</v>
      </c>
    </row>
    <row r="93" spans="1:7">
      <c r="A93" s="29">
        <v>929</v>
      </c>
      <c r="B93" s="30">
        <v>4</v>
      </c>
      <c r="C93" s="29" t="s">
        <v>470</v>
      </c>
      <c r="D93" s="30">
        <v>5</v>
      </c>
      <c r="E93" s="29" t="s">
        <v>471</v>
      </c>
      <c r="F93" t="s">
        <v>469</v>
      </c>
      <c r="G93" t="s">
        <v>434</v>
      </c>
    </row>
    <row r="94" spans="1:7">
      <c r="A94">
        <v>930</v>
      </c>
      <c r="B94">
        <v>5</v>
      </c>
      <c r="C94" t="s">
        <v>415</v>
      </c>
      <c r="D94">
        <v>5</v>
      </c>
      <c r="E94" t="s">
        <v>416</v>
      </c>
      <c r="F94" t="s">
        <v>354</v>
      </c>
      <c r="G94" t="s">
        <v>434</v>
      </c>
    </row>
    <row r="95" spans="1:7">
      <c r="A95">
        <v>938</v>
      </c>
      <c r="B95">
        <v>5</v>
      </c>
      <c r="C95" t="s">
        <v>417</v>
      </c>
      <c r="D95">
        <v>5</v>
      </c>
      <c r="E95" t="s">
        <v>418</v>
      </c>
      <c r="F95" t="s">
        <v>354</v>
      </c>
      <c r="G95" t="s">
        <v>434</v>
      </c>
    </row>
    <row r="96" spans="1:7">
      <c r="A96">
        <v>947</v>
      </c>
      <c r="B96">
        <v>4</v>
      </c>
      <c r="C96" t="s">
        <v>419</v>
      </c>
      <c r="D96">
        <v>5</v>
      </c>
      <c r="E96" t="s">
        <v>420</v>
      </c>
      <c r="F96" t="s">
        <v>354</v>
      </c>
      <c r="G96" t="s">
        <v>434</v>
      </c>
    </row>
    <row r="97" spans="1:7">
      <c r="A97">
        <v>968</v>
      </c>
      <c r="B97">
        <v>5</v>
      </c>
      <c r="C97" t="s">
        <v>421</v>
      </c>
      <c r="D97">
        <v>5</v>
      </c>
      <c r="E97" t="s">
        <v>422</v>
      </c>
      <c r="F97" t="s">
        <v>354</v>
      </c>
      <c r="G97" t="s">
        <v>434</v>
      </c>
    </row>
    <row r="98" spans="1:7">
      <c r="A98">
        <v>973</v>
      </c>
      <c r="B98">
        <v>5</v>
      </c>
      <c r="C98" t="s">
        <v>423</v>
      </c>
      <c r="D98">
        <v>5</v>
      </c>
      <c r="E98" t="s">
        <v>424</v>
      </c>
      <c r="F98" t="s">
        <v>354</v>
      </c>
      <c r="G98" t="s">
        <v>434</v>
      </c>
    </row>
    <row r="99" spans="1:7">
      <c r="A99">
        <v>982</v>
      </c>
      <c r="B99">
        <v>4</v>
      </c>
      <c r="C99" t="s">
        <v>425</v>
      </c>
      <c r="D99">
        <v>5</v>
      </c>
      <c r="E99" t="s">
        <v>426</v>
      </c>
      <c r="F99" t="s">
        <v>354</v>
      </c>
      <c r="G99" t="s">
        <v>434</v>
      </c>
    </row>
    <row r="100" spans="1:7">
      <c r="A100">
        <v>9831</v>
      </c>
      <c r="B100">
        <v>5</v>
      </c>
      <c r="C100" t="s">
        <v>427</v>
      </c>
      <c r="D100">
        <v>5</v>
      </c>
      <c r="E100" t="s">
        <v>428</v>
      </c>
      <c r="F100" t="s">
        <v>354</v>
      </c>
      <c r="G100" t="s">
        <v>434</v>
      </c>
    </row>
    <row r="101" spans="1:7">
      <c r="A101">
        <v>983</v>
      </c>
      <c r="B101">
        <v>4</v>
      </c>
      <c r="C101" t="s">
        <v>429</v>
      </c>
      <c r="D101">
        <v>5</v>
      </c>
      <c r="E101" t="s">
        <v>430</v>
      </c>
      <c r="F101" t="s">
        <v>354</v>
      </c>
      <c r="G101" t="s">
        <v>434</v>
      </c>
    </row>
    <row r="104" spans="1:7">
      <c r="A104" s="19"/>
      <c r="B104" s="28"/>
      <c r="C104" s="19"/>
      <c r="D104" s="28"/>
      <c r="E104"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8C50-18ED-4B14-8A2B-98855CA24748}">
  <dimension ref="A1:M81"/>
  <sheetViews>
    <sheetView topLeftCell="B1" zoomScale="47" zoomScaleNormal="85" workbookViewId="0">
      <selection activeCell="F35" sqref="F35"/>
    </sheetView>
  </sheetViews>
  <sheetFormatPr defaultRowHeight="14.5"/>
  <cols>
    <col min="1" max="1" width="15.26953125" customWidth="1"/>
    <col min="2" max="2" width="40.453125" customWidth="1"/>
    <col min="3" max="3" width="15.26953125" customWidth="1"/>
    <col min="4" max="4" width="13.26953125" customWidth="1"/>
    <col min="5" max="9" width="22.81640625" style="14" customWidth="1"/>
    <col min="10" max="11" width="17.54296875" customWidth="1"/>
    <col min="12" max="12" width="21.453125" customWidth="1"/>
    <col min="13" max="13" width="17.54296875" customWidth="1"/>
  </cols>
  <sheetData>
    <row r="1" spans="1:13" ht="69" customHeight="1">
      <c r="A1" s="1" t="s">
        <v>272</v>
      </c>
      <c r="B1" s="1" t="s">
        <v>0</v>
      </c>
      <c r="C1" s="1" t="s">
        <v>477</v>
      </c>
      <c r="D1" s="1" t="s">
        <v>219</v>
      </c>
      <c r="E1" s="31" t="s">
        <v>138</v>
      </c>
      <c r="F1" s="31" t="s">
        <v>139</v>
      </c>
      <c r="G1" s="31" t="s">
        <v>140</v>
      </c>
      <c r="H1" s="31" t="s">
        <v>141</v>
      </c>
      <c r="I1" s="31" t="s">
        <v>142</v>
      </c>
      <c r="J1" s="20" t="s">
        <v>473</v>
      </c>
      <c r="K1" s="20" t="s">
        <v>474</v>
      </c>
      <c r="L1" s="20" t="s">
        <v>475</v>
      </c>
      <c r="M1" s="20" t="s">
        <v>476</v>
      </c>
    </row>
    <row r="2" spans="1:13" ht="16">
      <c r="A2" t="s">
        <v>272</v>
      </c>
      <c r="B2" t="s">
        <v>28</v>
      </c>
      <c r="C2" t="s">
        <v>478</v>
      </c>
      <c r="D2" s="32">
        <v>9831</v>
      </c>
      <c r="E2" s="8">
        <v>1</v>
      </c>
      <c r="F2" s="8">
        <v>5</v>
      </c>
      <c r="G2" s="8">
        <v>4</v>
      </c>
      <c r="H2" s="8">
        <v>0</v>
      </c>
      <c r="I2" s="8">
        <v>2</v>
      </c>
      <c r="J2">
        <v>5</v>
      </c>
      <c r="K2" t="s">
        <v>427</v>
      </c>
      <c r="L2">
        <v>5</v>
      </c>
      <c r="M2" t="s">
        <v>428</v>
      </c>
    </row>
    <row r="3" spans="1:13" ht="16">
      <c r="A3" t="s">
        <v>272</v>
      </c>
      <c r="B3" t="s">
        <v>28</v>
      </c>
      <c r="C3" t="s">
        <v>478</v>
      </c>
      <c r="D3" s="26">
        <v>255</v>
      </c>
      <c r="E3" s="8">
        <v>1</v>
      </c>
      <c r="F3" s="8">
        <v>5</v>
      </c>
      <c r="G3" s="8">
        <v>2</v>
      </c>
      <c r="H3" s="8">
        <v>0</v>
      </c>
      <c r="I3" s="8">
        <v>5</v>
      </c>
      <c r="J3">
        <v>4</v>
      </c>
      <c r="K3" t="s">
        <v>275</v>
      </c>
      <c r="L3">
        <v>4</v>
      </c>
      <c r="M3" t="s">
        <v>276</v>
      </c>
    </row>
    <row r="4" spans="1:13" ht="16">
      <c r="A4" t="s">
        <v>272</v>
      </c>
      <c r="B4" t="s">
        <v>28</v>
      </c>
      <c r="C4" t="s">
        <v>478</v>
      </c>
      <c r="D4" s="26">
        <v>930</v>
      </c>
      <c r="E4" s="8">
        <v>1</v>
      </c>
      <c r="F4" s="8">
        <v>5</v>
      </c>
      <c r="G4" s="8">
        <v>5</v>
      </c>
      <c r="H4" s="8">
        <v>0</v>
      </c>
      <c r="I4" s="8">
        <v>5</v>
      </c>
      <c r="J4">
        <v>5</v>
      </c>
      <c r="K4" t="s">
        <v>415</v>
      </c>
      <c r="L4">
        <v>5</v>
      </c>
      <c r="M4" t="s">
        <v>416</v>
      </c>
    </row>
    <row r="5" spans="1:13" ht="16">
      <c r="A5" t="s">
        <v>272</v>
      </c>
      <c r="B5" t="s">
        <v>28</v>
      </c>
      <c r="C5" t="s">
        <v>478</v>
      </c>
      <c r="D5" s="26">
        <v>765</v>
      </c>
      <c r="E5" s="8">
        <v>1</v>
      </c>
      <c r="F5" s="8">
        <v>5</v>
      </c>
      <c r="G5" s="8">
        <v>5</v>
      </c>
      <c r="H5" s="8">
        <v>0</v>
      </c>
      <c r="I5" s="8">
        <v>5</v>
      </c>
      <c r="J5">
        <v>4</v>
      </c>
      <c r="K5" t="s">
        <v>379</v>
      </c>
      <c r="L5">
        <v>5</v>
      </c>
      <c r="M5" t="s">
        <v>380</v>
      </c>
    </row>
    <row r="6" spans="1:13" ht="16">
      <c r="A6" t="s">
        <v>272</v>
      </c>
      <c r="B6" t="s">
        <v>28</v>
      </c>
      <c r="C6" t="s">
        <v>478</v>
      </c>
      <c r="D6" s="26">
        <v>968</v>
      </c>
      <c r="E6" s="8">
        <v>1</v>
      </c>
      <c r="F6" s="8">
        <v>5</v>
      </c>
      <c r="G6" s="8">
        <v>5</v>
      </c>
      <c r="H6" s="8">
        <v>0</v>
      </c>
      <c r="I6" s="8">
        <v>5</v>
      </c>
      <c r="J6">
        <v>5</v>
      </c>
      <c r="K6" t="s">
        <v>421</v>
      </c>
      <c r="L6">
        <v>5</v>
      </c>
      <c r="M6" t="s">
        <v>422</v>
      </c>
    </row>
    <row r="7" spans="1:13" ht="16">
      <c r="A7" t="s">
        <v>272</v>
      </c>
      <c r="B7" t="s">
        <v>28</v>
      </c>
      <c r="C7" t="s">
        <v>478</v>
      </c>
      <c r="D7" s="26">
        <v>643</v>
      </c>
      <c r="E7" s="8">
        <v>1</v>
      </c>
      <c r="F7" s="8">
        <v>5</v>
      </c>
      <c r="G7" s="8">
        <v>5</v>
      </c>
      <c r="H7" s="8">
        <v>0</v>
      </c>
      <c r="I7" s="8">
        <v>5</v>
      </c>
      <c r="J7">
        <v>4</v>
      </c>
      <c r="K7" t="s">
        <v>355</v>
      </c>
      <c r="L7">
        <v>4</v>
      </c>
      <c r="M7" t="s">
        <v>356</v>
      </c>
    </row>
    <row r="8" spans="1:13" ht="16">
      <c r="A8" t="s">
        <v>272</v>
      </c>
      <c r="B8" t="s">
        <v>28</v>
      </c>
      <c r="C8" t="s">
        <v>478</v>
      </c>
      <c r="D8" s="26">
        <v>750</v>
      </c>
      <c r="E8" s="8">
        <v>1</v>
      </c>
      <c r="F8" s="8">
        <v>5</v>
      </c>
      <c r="G8" s="8">
        <v>3</v>
      </c>
      <c r="H8" s="8">
        <v>0</v>
      </c>
      <c r="I8" s="8">
        <v>5</v>
      </c>
      <c r="J8">
        <v>4</v>
      </c>
      <c r="K8" t="s">
        <v>377</v>
      </c>
      <c r="L8">
        <v>5</v>
      </c>
      <c r="M8" t="s">
        <v>378</v>
      </c>
    </row>
    <row r="9" spans="1:13" ht="16">
      <c r="A9" t="s">
        <v>272</v>
      </c>
      <c r="B9" t="s">
        <v>28</v>
      </c>
      <c r="C9" t="s">
        <v>478</v>
      </c>
      <c r="D9" s="26">
        <v>856</v>
      </c>
      <c r="E9" s="8">
        <v>1</v>
      </c>
      <c r="F9" s="8">
        <v>5</v>
      </c>
      <c r="G9" s="8">
        <v>5</v>
      </c>
      <c r="H9" s="8">
        <v>0</v>
      </c>
      <c r="I9" s="8">
        <v>5</v>
      </c>
      <c r="J9">
        <v>5</v>
      </c>
      <c r="K9" t="s">
        <v>399</v>
      </c>
      <c r="L9">
        <v>5</v>
      </c>
      <c r="M9" t="s">
        <v>400</v>
      </c>
    </row>
    <row r="10" spans="1:13" ht="16">
      <c r="A10" t="s">
        <v>272</v>
      </c>
      <c r="B10" t="s">
        <v>28</v>
      </c>
      <c r="C10" t="s">
        <v>478</v>
      </c>
      <c r="D10" s="32">
        <v>8991</v>
      </c>
      <c r="E10" s="8">
        <v>1</v>
      </c>
      <c r="F10" s="8">
        <v>5</v>
      </c>
      <c r="G10" s="8">
        <v>4</v>
      </c>
      <c r="H10" s="8">
        <v>0</v>
      </c>
      <c r="I10" s="8">
        <v>5</v>
      </c>
      <c r="J10">
        <v>5</v>
      </c>
      <c r="K10" t="s">
        <v>407</v>
      </c>
      <c r="L10">
        <v>5</v>
      </c>
      <c r="M10" t="s">
        <v>408</v>
      </c>
    </row>
    <row r="11" spans="1:13" ht="16">
      <c r="A11" t="s">
        <v>272</v>
      </c>
      <c r="B11" t="s">
        <v>28</v>
      </c>
      <c r="C11" t="s">
        <v>478</v>
      </c>
      <c r="D11" s="32">
        <v>3041</v>
      </c>
      <c r="E11" s="8">
        <v>1</v>
      </c>
      <c r="F11" s="8">
        <v>5</v>
      </c>
      <c r="G11" s="8">
        <v>3</v>
      </c>
      <c r="H11" s="8">
        <v>0</v>
      </c>
      <c r="I11" s="8">
        <v>5</v>
      </c>
      <c r="J11">
        <v>4</v>
      </c>
      <c r="K11" t="s">
        <v>285</v>
      </c>
      <c r="L11">
        <v>5</v>
      </c>
      <c r="M11" t="s">
        <v>286</v>
      </c>
    </row>
    <row r="12" spans="1:13" ht="16">
      <c r="A12" t="s">
        <v>272</v>
      </c>
      <c r="B12" t="s">
        <v>156</v>
      </c>
      <c r="C12" t="s">
        <v>479</v>
      </c>
      <c r="D12" s="26">
        <v>197</v>
      </c>
      <c r="E12" s="8">
        <v>1</v>
      </c>
      <c r="F12" s="8">
        <v>5</v>
      </c>
      <c r="G12" s="8">
        <v>5</v>
      </c>
      <c r="H12" s="8">
        <v>0</v>
      </c>
      <c r="I12" s="8">
        <v>4</v>
      </c>
      <c r="J12">
        <v>4</v>
      </c>
      <c r="K12" t="s">
        <v>264</v>
      </c>
      <c r="L12">
        <v>5</v>
      </c>
      <c r="M12" t="s">
        <v>265</v>
      </c>
    </row>
    <row r="13" spans="1:13" ht="16">
      <c r="A13" t="s">
        <v>272</v>
      </c>
      <c r="B13" t="s">
        <v>156</v>
      </c>
      <c r="C13" t="s">
        <v>479</v>
      </c>
      <c r="D13" s="26">
        <v>561</v>
      </c>
      <c r="E13" s="8">
        <v>1</v>
      </c>
      <c r="F13" s="8">
        <v>5</v>
      </c>
      <c r="G13" s="8">
        <v>5</v>
      </c>
      <c r="H13" s="8">
        <v>0</v>
      </c>
      <c r="I13" s="8">
        <v>4</v>
      </c>
      <c r="J13">
        <v>4</v>
      </c>
      <c r="K13" t="s">
        <v>343</v>
      </c>
      <c r="L13">
        <v>5</v>
      </c>
      <c r="M13" t="s">
        <v>344</v>
      </c>
    </row>
    <row r="14" spans="1:13" ht="16">
      <c r="A14" t="s">
        <v>272</v>
      </c>
      <c r="B14" t="s">
        <v>156</v>
      </c>
      <c r="C14" t="s">
        <v>479</v>
      </c>
      <c r="D14" s="26">
        <v>34</v>
      </c>
      <c r="E14" s="8">
        <v>1</v>
      </c>
      <c r="F14" s="8">
        <v>5</v>
      </c>
      <c r="G14" s="8">
        <v>5</v>
      </c>
      <c r="H14" s="8">
        <v>0</v>
      </c>
      <c r="I14" s="8">
        <v>4</v>
      </c>
      <c r="J14">
        <v>4</v>
      </c>
      <c r="K14" t="s">
        <v>242</v>
      </c>
      <c r="L14">
        <v>5</v>
      </c>
      <c r="M14" t="s">
        <v>243</v>
      </c>
    </row>
    <row r="15" spans="1:13" ht="16">
      <c r="A15" t="s">
        <v>272</v>
      </c>
      <c r="B15" t="s">
        <v>156</v>
      </c>
      <c r="C15" t="s">
        <v>479</v>
      </c>
      <c r="D15" s="26">
        <v>6</v>
      </c>
      <c r="E15" s="8">
        <v>1</v>
      </c>
      <c r="F15" s="8">
        <v>5</v>
      </c>
      <c r="G15" s="8">
        <v>5</v>
      </c>
      <c r="H15" s="8">
        <v>0</v>
      </c>
      <c r="I15" s="8">
        <v>4</v>
      </c>
      <c r="J15">
        <v>4</v>
      </c>
      <c r="K15" t="s">
        <v>234</v>
      </c>
      <c r="L15">
        <v>5</v>
      </c>
      <c r="M15" t="s">
        <v>235</v>
      </c>
    </row>
    <row r="16" spans="1:13" ht="16">
      <c r="A16" t="s">
        <v>272</v>
      </c>
      <c r="B16" t="s">
        <v>156</v>
      </c>
      <c r="C16" t="s">
        <v>479</v>
      </c>
      <c r="D16" s="26">
        <v>607</v>
      </c>
      <c r="E16" s="8">
        <v>1</v>
      </c>
      <c r="F16" s="8">
        <v>5</v>
      </c>
      <c r="G16" s="8">
        <v>5</v>
      </c>
      <c r="H16" s="8">
        <v>0</v>
      </c>
      <c r="I16" s="8">
        <v>4</v>
      </c>
      <c r="J16">
        <v>4</v>
      </c>
      <c r="K16" t="s">
        <v>349</v>
      </c>
      <c r="L16">
        <v>5</v>
      </c>
      <c r="M16" t="s">
        <v>350</v>
      </c>
    </row>
    <row r="17" spans="1:13" ht="16">
      <c r="A17" t="s">
        <v>272</v>
      </c>
      <c r="B17" t="s">
        <v>156</v>
      </c>
      <c r="C17" t="s">
        <v>479</v>
      </c>
      <c r="D17" s="26">
        <v>739</v>
      </c>
      <c r="E17" s="8">
        <v>1</v>
      </c>
      <c r="F17" s="8">
        <v>5</v>
      </c>
      <c r="G17" s="8">
        <v>5</v>
      </c>
      <c r="H17" s="8">
        <v>0</v>
      </c>
      <c r="I17" s="8">
        <v>4</v>
      </c>
      <c r="J17">
        <v>4</v>
      </c>
      <c r="K17" t="s">
        <v>375</v>
      </c>
      <c r="L17">
        <v>5</v>
      </c>
      <c r="M17" t="s">
        <v>376</v>
      </c>
    </row>
    <row r="18" spans="1:13" ht="16">
      <c r="A18" t="s">
        <v>272</v>
      </c>
      <c r="B18" t="s">
        <v>156</v>
      </c>
      <c r="C18" t="s">
        <v>479</v>
      </c>
      <c r="D18" s="26">
        <v>477</v>
      </c>
      <c r="E18" s="8">
        <v>1</v>
      </c>
      <c r="F18" s="8">
        <v>5</v>
      </c>
      <c r="G18" s="8">
        <v>4</v>
      </c>
      <c r="H18" s="8">
        <v>0</v>
      </c>
      <c r="I18" s="8">
        <v>3</v>
      </c>
      <c r="J18">
        <v>4</v>
      </c>
      <c r="K18" t="s">
        <v>323</v>
      </c>
      <c r="L18">
        <v>5</v>
      </c>
      <c r="M18" t="s">
        <v>324</v>
      </c>
    </row>
    <row r="19" spans="1:13" ht="16">
      <c r="A19" t="s">
        <v>272</v>
      </c>
      <c r="B19" t="s">
        <v>156</v>
      </c>
      <c r="C19" t="s">
        <v>479</v>
      </c>
      <c r="D19" s="26">
        <v>649</v>
      </c>
      <c r="E19" s="8">
        <v>1</v>
      </c>
      <c r="F19" s="8">
        <v>5</v>
      </c>
      <c r="G19" s="8">
        <v>5</v>
      </c>
      <c r="H19" s="8">
        <v>0</v>
      </c>
      <c r="I19" s="8">
        <v>4</v>
      </c>
      <c r="J19">
        <v>4</v>
      </c>
      <c r="K19" t="s">
        <v>359</v>
      </c>
      <c r="L19">
        <v>5</v>
      </c>
      <c r="M19" t="s">
        <v>360</v>
      </c>
    </row>
    <row r="20" spans="1:13" ht="16">
      <c r="A20" t="s">
        <v>272</v>
      </c>
      <c r="B20" t="s">
        <v>156</v>
      </c>
      <c r="C20" t="s">
        <v>479</v>
      </c>
      <c r="D20" s="26">
        <v>64</v>
      </c>
      <c r="E20" s="8">
        <v>1</v>
      </c>
      <c r="F20" s="8">
        <v>5</v>
      </c>
      <c r="G20" s="8">
        <v>5</v>
      </c>
      <c r="H20" s="8">
        <v>0</v>
      </c>
      <c r="I20" s="8">
        <v>1</v>
      </c>
      <c r="J20">
        <v>4</v>
      </c>
      <c r="K20" t="s">
        <v>244</v>
      </c>
      <c r="L20">
        <v>5</v>
      </c>
      <c r="M20" t="s">
        <v>245</v>
      </c>
    </row>
    <row r="21" spans="1:13" ht="16">
      <c r="A21" t="s">
        <v>272</v>
      </c>
      <c r="B21" t="s">
        <v>156</v>
      </c>
      <c r="C21" t="s">
        <v>479</v>
      </c>
      <c r="D21" s="26">
        <v>773</v>
      </c>
      <c r="E21" s="8">
        <v>1</v>
      </c>
      <c r="F21" s="8">
        <v>5</v>
      </c>
      <c r="G21" s="8">
        <v>5</v>
      </c>
      <c r="H21" s="8">
        <v>0</v>
      </c>
      <c r="I21" s="8">
        <v>4</v>
      </c>
      <c r="J21">
        <v>4</v>
      </c>
      <c r="K21" t="s">
        <v>381</v>
      </c>
      <c r="L21">
        <v>5</v>
      </c>
      <c r="M21" t="s">
        <v>382</v>
      </c>
    </row>
    <row r="22" spans="1:13" ht="16">
      <c r="A22" t="s">
        <v>272</v>
      </c>
      <c r="B22" t="s">
        <v>10</v>
      </c>
      <c r="C22" t="s">
        <v>480</v>
      </c>
      <c r="D22" s="26">
        <v>216</v>
      </c>
      <c r="E22" s="8">
        <v>1</v>
      </c>
      <c r="F22" s="8">
        <v>3</v>
      </c>
      <c r="G22" s="8">
        <v>1</v>
      </c>
      <c r="H22" s="8">
        <v>0</v>
      </c>
      <c r="I22" s="8">
        <v>1</v>
      </c>
      <c r="J22">
        <v>4</v>
      </c>
      <c r="K22" t="s">
        <v>266</v>
      </c>
      <c r="L22">
        <v>5</v>
      </c>
      <c r="M22" t="s">
        <v>267</v>
      </c>
    </row>
    <row r="23" spans="1:13" ht="16">
      <c r="A23" t="s">
        <v>272</v>
      </c>
      <c r="B23" t="s">
        <v>10</v>
      </c>
      <c r="C23" t="s">
        <v>480</v>
      </c>
      <c r="D23" s="26">
        <v>140</v>
      </c>
      <c r="E23" s="8">
        <v>0</v>
      </c>
      <c r="F23" s="8">
        <v>1</v>
      </c>
      <c r="G23" s="8">
        <v>1</v>
      </c>
      <c r="H23" s="8">
        <v>0</v>
      </c>
      <c r="I23" s="8">
        <v>1</v>
      </c>
      <c r="J23">
        <v>1</v>
      </c>
      <c r="K23" t="s">
        <v>254</v>
      </c>
      <c r="L23">
        <v>1</v>
      </c>
      <c r="M23" t="s">
        <v>255</v>
      </c>
    </row>
    <row r="24" spans="1:13" ht="16">
      <c r="A24" t="s">
        <v>272</v>
      </c>
      <c r="B24" t="s">
        <v>10</v>
      </c>
      <c r="C24" t="s">
        <v>480</v>
      </c>
      <c r="D24" s="26">
        <v>395</v>
      </c>
      <c r="E24" s="8">
        <v>1</v>
      </c>
      <c r="F24" s="8">
        <v>5</v>
      </c>
      <c r="G24" s="8">
        <v>5</v>
      </c>
      <c r="H24" s="8">
        <v>0</v>
      </c>
      <c r="I24" s="8">
        <v>5</v>
      </c>
      <c r="J24">
        <v>5</v>
      </c>
      <c r="K24" t="s">
        <v>311</v>
      </c>
      <c r="L24">
        <v>5</v>
      </c>
      <c r="M24" t="s">
        <v>312</v>
      </c>
    </row>
    <row r="25" spans="1:13" ht="16">
      <c r="A25" t="s">
        <v>272</v>
      </c>
      <c r="B25" t="s">
        <v>10</v>
      </c>
      <c r="C25" t="s">
        <v>480</v>
      </c>
      <c r="D25" s="26">
        <v>740</v>
      </c>
      <c r="E25" s="8">
        <v>1</v>
      </c>
      <c r="F25" s="8">
        <v>5</v>
      </c>
      <c r="G25" s="8">
        <v>4</v>
      </c>
      <c r="H25" s="8">
        <v>0</v>
      </c>
      <c r="I25" s="8">
        <v>5</v>
      </c>
      <c r="J25">
        <v>3</v>
      </c>
      <c r="K25" t="s">
        <v>431</v>
      </c>
      <c r="L25">
        <v>2</v>
      </c>
      <c r="M25" t="s">
        <v>432</v>
      </c>
    </row>
    <row r="26" spans="1:13" ht="16">
      <c r="A26" t="s">
        <v>272</v>
      </c>
      <c r="B26" t="s">
        <v>10</v>
      </c>
      <c r="C26" t="s">
        <v>480</v>
      </c>
      <c r="D26" s="26">
        <v>231</v>
      </c>
      <c r="E26" s="8">
        <v>1</v>
      </c>
      <c r="F26" s="8">
        <v>5</v>
      </c>
      <c r="G26" s="8">
        <v>5</v>
      </c>
      <c r="H26" s="8">
        <v>0</v>
      </c>
      <c r="I26" s="8">
        <v>5</v>
      </c>
      <c r="J26">
        <v>4</v>
      </c>
      <c r="K26" t="s">
        <v>268</v>
      </c>
      <c r="L26">
        <v>4</v>
      </c>
      <c r="M26" t="s">
        <v>269</v>
      </c>
    </row>
    <row r="27" spans="1:13" ht="16">
      <c r="A27" t="s">
        <v>272</v>
      </c>
      <c r="B27" t="s">
        <v>10</v>
      </c>
      <c r="C27" t="s">
        <v>480</v>
      </c>
      <c r="D27" s="26">
        <v>346</v>
      </c>
      <c r="E27" s="8">
        <v>1</v>
      </c>
      <c r="F27" s="8">
        <v>5</v>
      </c>
      <c r="G27" s="8">
        <v>5</v>
      </c>
      <c r="H27" s="8">
        <v>0</v>
      </c>
      <c r="I27" s="8">
        <v>5</v>
      </c>
      <c r="J27">
        <v>5</v>
      </c>
      <c r="K27" t="s">
        <v>295</v>
      </c>
      <c r="L27">
        <v>5</v>
      </c>
      <c r="M27" t="s">
        <v>296</v>
      </c>
    </row>
    <row r="28" spans="1:13" ht="16">
      <c r="A28" t="s">
        <v>272</v>
      </c>
      <c r="B28" t="s">
        <v>10</v>
      </c>
      <c r="C28" t="s">
        <v>480</v>
      </c>
      <c r="D28" s="26">
        <v>343</v>
      </c>
      <c r="E28" s="8">
        <v>1</v>
      </c>
      <c r="F28" s="8">
        <v>5</v>
      </c>
      <c r="G28" s="8">
        <v>5</v>
      </c>
      <c r="H28" s="8">
        <v>0</v>
      </c>
      <c r="I28" s="8">
        <v>5</v>
      </c>
      <c r="J28">
        <v>5</v>
      </c>
      <c r="K28" t="s">
        <v>293</v>
      </c>
      <c r="L28">
        <v>4</v>
      </c>
      <c r="M28" t="s">
        <v>294</v>
      </c>
    </row>
    <row r="29" spans="1:13" ht="16">
      <c r="A29" t="s">
        <v>272</v>
      </c>
      <c r="B29" t="s">
        <v>10</v>
      </c>
      <c r="C29" t="s">
        <v>480</v>
      </c>
      <c r="D29" s="26">
        <v>315</v>
      </c>
      <c r="E29" s="8">
        <v>1</v>
      </c>
      <c r="F29" s="8">
        <v>5</v>
      </c>
      <c r="G29" s="8">
        <v>5</v>
      </c>
      <c r="H29" s="8">
        <v>0</v>
      </c>
      <c r="I29" s="8">
        <v>5</v>
      </c>
      <c r="J29">
        <v>5</v>
      </c>
      <c r="K29" t="s">
        <v>291</v>
      </c>
      <c r="L29">
        <v>5</v>
      </c>
      <c r="M29" t="s">
        <v>292</v>
      </c>
    </row>
    <row r="30" spans="1:13" ht="16">
      <c r="A30" t="s">
        <v>272</v>
      </c>
      <c r="B30" t="s">
        <v>10</v>
      </c>
      <c r="C30" t="s">
        <v>480</v>
      </c>
      <c r="D30" s="26">
        <v>838</v>
      </c>
      <c r="E30" s="8">
        <v>1</v>
      </c>
      <c r="F30" s="8">
        <v>5</v>
      </c>
      <c r="G30" s="8">
        <v>4</v>
      </c>
      <c r="H30" s="8">
        <v>0</v>
      </c>
      <c r="I30" s="8">
        <v>5</v>
      </c>
      <c r="J30">
        <v>5</v>
      </c>
      <c r="K30" t="s">
        <v>395</v>
      </c>
      <c r="L30">
        <v>5</v>
      </c>
      <c r="M30" t="s">
        <v>396</v>
      </c>
    </row>
    <row r="31" spans="1:13" ht="16">
      <c r="A31" t="s">
        <v>272</v>
      </c>
      <c r="B31" t="s">
        <v>10</v>
      </c>
      <c r="C31" t="s">
        <v>480</v>
      </c>
      <c r="D31" s="26">
        <v>400</v>
      </c>
      <c r="E31" s="8">
        <v>1</v>
      </c>
      <c r="F31" s="8">
        <v>5</v>
      </c>
      <c r="G31" s="8">
        <v>5</v>
      </c>
      <c r="H31" s="8">
        <v>0</v>
      </c>
      <c r="I31" s="8">
        <v>5</v>
      </c>
      <c r="J31">
        <v>4</v>
      </c>
      <c r="K31" t="s">
        <v>315</v>
      </c>
      <c r="L31">
        <v>5</v>
      </c>
      <c r="M31" t="s">
        <v>316</v>
      </c>
    </row>
    <row r="32" spans="1:13" ht="16">
      <c r="A32" t="s">
        <v>272</v>
      </c>
      <c r="B32" t="s">
        <v>16</v>
      </c>
      <c r="C32" t="s">
        <v>481</v>
      </c>
      <c r="D32" s="26">
        <v>70</v>
      </c>
      <c r="E32" s="8">
        <v>1</v>
      </c>
      <c r="F32" s="8">
        <v>5</v>
      </c>
      <c r="G32" s="8">
        <v>4</v>
      </c>
      <c r="H32" s="8">
        <v>0</v>
      </c>
      <c r="I32" s="8">
        <v>5</v>
      </c>
      <c r="J32">
        <v>4</v>
      </c>
      <c r="K32" t="s">
        <v>246</v>
      </c>
      <c r="L32">
        <v>4</v>
      </c>
      <c r="M32" t="s">
        <v>247</v>
      </c>
    </row>
    <row r="33" spans="1:13" ht="16">
      <c r="A33" t="s">
        <v>272</v>
      </c>
      <c r="B33" t="s">
        <v>16</v>
      </c>
      <c r="C33" t="s">
        <v>481</v>
      </c>
      <c r="D33" s="26">
        <v>29</v>
      </c>
      <c r="E33" s="8">
        <v>1</v>
      </c>
      <c r="F33" s="8">
        <v>5</v>
      </c>
      <c r="G33" s="8">
        <v>3</v>
      </c>
      <c r="H33" s="8">
        <v>0</v>
      </c>
      <c r="I33" s="8">
        <v>2</v>
      </c>
      <c r="J33">
        <v>4</v>
      </c>
      <c r="K33" t="s">
        <v>240</v>
      </c>
      <c r="L33">
        <v>5</v>
      </c>
      <c r="M33" t="s">
        <v>241</v>
      </c>
    </row>
    <row r="34" spans="1:13" ht="16">
      <c r="A34" t="s">
        <v>272</v>
      </c>
      <c r="B34" t="s">
        <v>16</v>
      </c>
      <c r="C34" t="s">
        <v>481</v>
      </c>
      <c r="D34" s="26">
        <v>540</v>
      </c>
      <c r="E34" s="8">
        <v>1</v>
      </c>
      <c r="F34" s="8">
        <v>5</v>
      </c>
      <c r="G34" s="8">
        <v>3</v>
      </c>
      <c r="H34" s="8">
        <v>0</v>
      </c>
      <c r="I34" s="8">
        <v>1</v>
      </c>
      <c r="J34">
        <v>4</v>
      </c>
      <c r="K34" t="s">
        <v>335</v>
      </c>
      <c r="L34">
        <v>5</v>
      </c>
      <c r="M34" t="s">
        <v>336</v>
      </c>
    </row>
    <row r="35" spans="1:13" ht="16">
      <c r="A35" t="s">
        <v>272</v>
      </c>
      <c r="B35" t="s">
        <v>16</v>
      </c>
      <c r="C35" t="s">
        <v>481</v>
      </c>
      <c r="D35" s="26">
        <v>386</v>
      </c>
      <c r="E35" s="8">
        <v>1</v>
      </c>
      <c r="F35" s="8">
        <v>5</v>
      </c>
      <c r="G35" s="8">
        <v>5</v>
      </c>
      <c r="H35" s="8">
        <v>0</v>
      </c>
      <c r="I35" s="8">
        <v>5</v>
      </c>
      <c r="J35">
        <v>4</v>
      </c>
      <c r="K35" t="s">
        <v>307</v>
      </c>
      <c r="L35">
        <v>5</v>
      </c>
      <c r="M35" t="s">
        <v>308</v>
      </c>
    </row>
    <row r="36" spans="1:13" ht="16">
      <c r="A36" t="s">
        <v>272</v>
      </c>
      <c r="B36" t="s">
        <v>16</v>
      </c>
      <c r="C36" t="s">
        <v>481</v>
      </c>
      <c r="D36" s="26">
        <v>284</v>
      </c>
      <c r="E36" s="8">
        <v>1</v>
      </c>
      <c r="F36" s="8">
        <v>5</v>
      </c>
      <c r="G36" s="8">
        <v>5</v>
      </c>
      <c r="H36" s="8">
        <v>0</v>
      </c>
      <c r="I36" s="8">
        <v>5</v>
      </c>
      <c r="J36">
        <v>4</v>
      </c>
      <c r="K36" t="s">
        <v>277</v>
      </c>
      <c r="L36">
        <v>5</v>
      </c>
      <c r="M36" t="s">
        <v>278</v>
      </c>
    </row>
    <row r="37" spans="1:13" ht="16">
      <c r="A37" t="s">
        <v>272</v>
      </c>
      <c r="B37" t="s">
        <v>16</v>
      </c>
      <c r="C37" t="s">
        <v>481</v>
      </c>
      <c r="D37" s="26">
        <v>190</v>
      </c>
      <c r="E37" s="8">
        <v>1</v>
      </c>
      <c r="F37" s="8">
        <v>5</v>
      </c>
      <c r="G37" s="8">
        <v>5</v>
      </c>
      <c r="H37" s="8">
        <v>0</v>
      </c>
      <c r="I37" s="8">
        <v>4</v>
      </c>
      <c r="J37">
        <v>4</v>
      </c>
      <c r="K37" t="s">
        <v>262</v>
      </c>
      <c r="L37">
        <v>4</v>
      </c>
      <c r="M37" t="s">
        <v>263</v>
      </c>
    </row>
    <row r="38" spans="1:13" ht="16">
      <c r="A38" t="s">
        <v>272</v>
      </c>
      <c r="B38" t="s">
        <v>16</v>
      </c>
      <c r="C38" t="s">
        <v>481</v>
      </c>
      <c r="D38" s="26">
        <v>462</v>
      </c>
      <c r="E38" s="8">
        <v>1</v>
      </c>
      <c r="F38" s="8">
        <v>5</v>
      </c>
      <c r="G38" s="8">
        <v>5</v>
      </c>
      <c r="H38" s="8">
        <v>0</v>
      </c>
      <c r="I38" s="8">
        <v>3</v>
      </c>
      <c r="J38">
        <v>4</v>
      </c>
      <c r="K38" t="s">
        <v>321</v>
      </c>
      <c r="L38">
        <v>4</v>
      </c>
      <c r="M38" t="s">
        <v>322</v>
      </c>
    </row>
    <row r="39" spans="1:13" ht="16">
      <c r="A39" t="s">
        <v>272</v>
      </c>
      <c r="B39" t="s">
        <v>16</v>
      </c>
      <c r="C39" t="s">
        <v>481</v>
      </c>
      <c r="D39" s="26">
        <v>655</v>
      </c>
      <c r="E39" s="8">
        <v>1</v>
      </c>
      <c r="F39" s="8">
        <v>4</v>
      </c>
      <c r="G39" s="8">
        <v>5</v>
      </c>
      <c r="H39" s="8">
        <v>1</v>
      </c>
      <c r="I39" s="8">
        <v>3</v>
      </c>
      <c r="J39">
        <v>4</v>
      </c>
      <c r="K39" t="s">
        <v>361</v>
      </c>
      <c r="L39">
        <v>5</v>
      </c>
      <c r="M39" t="s">
        <v>362</v>
      </c>
    </row>
    <row r="40" spans="1:13" ht="16">
      <c r="A40" t="s">
        <v>272</v>
      </c>
      <c r="B40" t="s">
        <v>16</v>
      </c>
      <c r="C40" t="s">
        <v>481</v>
      </c>
      <c r="D40" s="26">
        <v>408</v>
      </c>
      <c r="E40" s="8">
        <v>0</v>
      </c>
      <c r="F40" s="8">
        <v>4</v>
      </c>
      <c r="G40" s="8">
        <v>5</v>
      </c>
      <c r="H40" s="8">
        <v>1</v>
      </c>
      <c r="I40" s="8">
        <v>1</v>
      </c>
      <c r="J40">
        <v>4</v>
      </c>
      <c r="K40" t="s">
        <v>317</v>
      </c>
      <c r="L40">
        <v>5</v>
      </c>
      <c r="M40" t="s">
        <v>318</v>
      </c>
    </row>
    <row r="41" spans="1:13" ht="16">
      <c r="A41" t="s">
        <v>272</v>
      </c>
      <c r="B41" t="s">
        <v>16</v>
      </c>
      <c r="C41" t="s">
        <v>481</v>
      </c>
      <c r="D41" s="32">
        <v>3771</v>
      </c>
      <c r="E41" s="8">
        <v>1</v>
      </c>
      <c r="F41" s="8">
        <v>5</v>
      </c>
      <c r="G41" s="8">
        <v>5</v>
      </c>
      <c r="H41" s="8">
        <v>0</v>
      </c>
      <c r="I41" s="8">
        <v>4</v>
      </c>
      <c r="J41">
        <v>4</v>
      </c>
      <c r="K41" t="s">
        <v>303</v>
      </c>
      <c r="L41">
        <v>5</v>
      </c>
      <c r="M41" t="s">
        <v>304</v>
      </c>
    </row>
    <row r="42" spans="1:13" ht="16">
      <c r="A42" t="s">
        <v>472</v>
      </c>
      <c r="B42" t="s">
        <v>28</v>
      </c>
      <c r="C42" t="s">
        <v>478</v>
      </c>
      <c r="D42" s="26">
        <v>295</v>
      </c>
      <c r="E42" s="26">
        <v>1</v>
      </c>
      <c r="F42" s="8">
        <v>5</v>
      </c>
      <c r="G42" s="8">
        <v>3</v>
      </c>
      <c r="H42" s="8">
        <v>0</v>
      </c>
      <c r="J42">
        <v>3</v>
      </c>
      <c r="K42" t="s">
        <v>281</v>
      </c>
      <c r="L42">
        <v>4</v>
      </c>
      <c r="M42" t="s">
        <v>282</v>
      </c>
    </row>
    <row r="43" spans="1:13" ht="16">
      <c r="A43" t="s">
        <v>472</v>
      </c>
      <c r="B43" t="s">
        <v>28</v>
      </c>
      <c r="C43" t="s">
        <v>478</v>
      </c>
      <c r="D43" s="26">
        <v>450</v>
      </c>
      <c r="E43" s="26">
        <v>1</v>
      </c>
      <c r="F43" s="8">
        <v>5</v>
      </c>
      <c r="G43" s="8">
        <v>2</v>
      </c>
      <c r="H43" s="8">
        <v>0</v>
      </c>
      <c r="J43">
        <v>4</v>
      </c>
      <c r="K43" t="s">
        <v>319</v>
      </c>
      <c r="L43">
        <v>4</v>
      </c>
      <c r="M43" t="s">
        <v>320</v>
      </c>
    </row>
    <row r="44" spans="1:13" ht="16">
      <c r="A44" t="s">
        <v>472</v>
      </c>
      <c r="B44" t="s">
        <v>28</v>
      </c>
      <c r="C44" t="s">
        <v>478</v>
      </c>
      <c r="D44" s="26">
        <v>621</v>
      </c>
      <c r="E44" s="26">
        <v>1</v>
      </c>
      <c r="F44" s="8">
        <v>5</v>
      </c>
      <c r="G44" s="8">
        <v>2</v>
      </c>
      <c r="H44" s="8">
        <v>0</v>
      </c>
      <c r="J44">
        <v>4</v>
      </c>
      <c r="K44" t="s">
        <v>351</v>
      </c>
      <c r="L44">
        <v>4</v>
      </c>
      <c r="M44" t="s">
        <v>352</v>
      </c>
    </row>
    <row r="45" spans="1:13" ht="16">
      <c r="A45" t="s">
        <v>472</v>
      </c>
      <c r="B45" t="s">
        <v>28</v>
      </c>
      <c r="C45" t="s">
        <v>478</v>
      </c>
      <c r="D45" s="26">
        <v>366</v>
      </c>
      <c r="E45" s="26">
        <v>1</v>
      </c>
      <c r="F45" s="8">
        <v>5</v>
      </c>
      <c r="G45" s="8">
        <v>5</v>
      </c>
      <c r="H45" s="8">
        <v>0</v>
      </c>
      <c r="J45">
        <v>4</v>
      </c>
      <c r="K45" t="s">
        <v>301</v>
      </c>
      <c r="L45">
        <v>5</v>
      </c>
      <c r="M45" t="s">
        <v>302</v>
      </c>
    </row>
    <row r="46" spans="1:13" ht="16">
      <c r="A46" t="s">
        <v>472</v>
      </c>
      <c r="B46" t="s">
        <v>28</v>
      </c>
      <c r="C46" t="s">
        <v>478</v>
      </c>
      <c r="D46" s="26">
        <v>286</v>
      </c>
      <c r="E46" s="26">
        <v>1</v>
      </c>
      <c r="F46" s="8">
        <v>5</v>
      </c>
      <c r="G46" s="8">
        <v>4</v>
      </c>
      <c r="H46" s="8">
        <v>0</v>
      </c>
      <c r="J46">
        <v>3</v>
      </c>
      <c r="K46" t="s">
        <v>279</v>
      </c>
      <c r="L46">
        <v>4</v>
      </c>
      <c r="M46" t="s">
        <v>280</v>
      </c>
    </row>
    <row r="47" spans="1:13" ht="16">
      <c r="A47" t="s">
        <v>472</v>
      </c>
      <c r="B47" t="s">
        <v>28</v>
      </c>
      <c r="C47" t="s">
        <v>478</v>
      </c>
      <c r="D47" s="26">
        <v>520</v>
      </c>
      <c r="E47" s="26">
        <v>1</v>
      </c>
      <c r="F47" s="8">
        <v>5</v>
      </c>
      <c r="G47" s="8">
        <v>5</v>
      </c>
      <c r="H47" s="8">
        <v>0</v>
      </c>
      <c r="J47">
        <v>4</v>
      </c>
      <c r="K47" t="s">
        <v>333</v>
      </c>
      <c r="L47">
        <v>5</v>
      </c>
      <c r="M47" t="s">
        <v>334</v>
      </c>
    </row>
    <row r="48" spans="1:13" ht="16">
      <c r="A48" t="s">
        <v>472</v>
      </c>
      <c r="B48" t="s">
        <v>28</v>
      </c>
      <c r="C48" t="s">
        <v>478</v>
      </c>
      <c r="D48" s="26">
        <v>906</v>
      </c>
      <c r="E48" s="26">
        <v>1</v>
      </c>
      <c r="F48" s="8">
        <v>5</v>
      </c>
      <c r="G48" s="8">
        <v>3</v>
      </c>
      <c r="H48" s="8">
        <v>0</v>
      </c>
      <c r="J48">
        <v>5</v>
      </c>
      <c r="K48" t="s">
        <v>411</v>
      </c>
      <c r="L48">
        <v>5</v>
      </c>
      <c r="M48" t="s">
        <v>412</v>
      </c>
    </row>
    <row r="49" spans="1:13" ht="16">
      <c r="A49" t="s">
        <v>472</v>
      </c>
      <c r="B49" t="s">
        <v>28</v>
      </c>
      <c r="C49" t="s">
        <v>478</v>
      </c>
      <c r="D49" s="26">
        <v>396</v>
      </c>
      <c r="E49" s="26">
        <v>1</v>
      </c>
      <c r="F49" s="8">
        <v>5</v>
      </c>
      <c r="G49" s="8">
        <v>5</v>
      </c>
      <c r="H49" s="8">
        <v>0</v>
      </c>
      <c r="J49">
        <v>4</v>
      </c>
      <c r="K49" t="s">
        <v>313</v>
      </c>
      <c r="L49">
        <v>4</v>
      </c>
      <c r="M49" t="s">
        <v>314</v>
      </c>
    </row>
    <row r="50" spans="1:13" ht="16">
      <c r="A50" t="s">
        <v>472</v>
      </c>
      <c r="B50" t="s">
        <v>28</v>
      </c>
      <c r="C50" t="s">
        <v>478</v>
      </c>
      <c r="D50" s="26">
        <v>560</v>
      </c>
      <c r="E50" s="26">
        <v>1</v>
      </c>
      <c r="F50" s="8">
        <v>5</v>
      </c>
      <c r="G50" s="8">
        <v>4</v>
      </c>
      <c r="H50" s="8">
        <v>0</v>
      </c>
      <c r="J50">
        <v>4</v>
      </c>
      <c r="K50" t="s">
        <v>341</v>
      </c>
      <c r="L50">
        <v>5</v>
      </c>
      <c r="M50" t="s">
        <v>342</v>
      </c>
    </row>
    <row r="51" spans="1:13" ht="16">
      <c r="A51" t="s">
        <v>472</v>
      </c>
      <c r="B51" t="s">
        <v>28</v>
      </c>
      <c r="C51" t="s">
        <v>478</v>
      </c>
      <c r="D51" s="26">
        <v>571</v>
      </c>
      <c r="E51" s="26">
        <v>1</v>
      </c>
      <c r="F51" s="8">
        <v>5</v>
      </c>
      <c r="G51" s="8">
        <v>5</v>
      </c>
      <c r="H51" s="8">
        <v>0</v>
      </c>
      <c r="J51">
        <v>3</v>
      </c>
      <c r="K51" t="s">
        <v>345</v>
      </c>
      <c r="L51">
        <v>4</v>
      </c>
      <c r="M51" t="s">
        <v>346</v>
      </c>
    </row>
    <row r="52" spans="1:13" ht="16">
      <c r="A52" t="s">
        <v>472</v>
      </c>
      <c r="B52" t="s">
        <v>156</v>
      </c>
      <c r="C52" t="s">
        <v>479</v>
      </c>
      <c r="D52" s="26">
        <v>874</v>
      </c>
      <c r="E52" s="26">
        <v>1</v>
      </c>
      <c r="F52" s="8">
        <v>5</v>
      </c>
      <c r="G52" s="8">
        <v>4</v>
      </c>
      <c r="H52" s="8">
        <v>0</v>
      </c>
      <c r="J52">
        <v>4</v>
      </c>
      <c r="K52" t="s">
        <v>401</v>
      </c>
      <c r="L52">
        <v>5</v>
      </c>
      <c r="M52" t="s">
        <v>402</v>
      </c>
    </row>
    <row r="53" spans="1:13" ht="16">
      <c r="A53" t="s">
        <v>472</v>
      </c>
      <c r="B53" t="s">
        <v>156</v>
      </c>
      <c r="C53" t="s">
        <v>479</v>
      </c>
      <c r="D53" s="26">
        <v>947</v>
      </c>
      <c r="E53" s="26">
        <v>1</v>
      </c>
      <c r="F53" s="8">
        <v>3</v>
      </c>
      <c r="G53" s="8">
        <v>3</v>
      </c>
      <c r="H53" s="8">
        <v>1</v>
      </c>
      <c r="J53">
        <v>4</v>
      </c>
      <c r="K53" t="s">
        <v>419</v>
      </c>
      <c r="L53">
        <v>5</v>
      </c>
      <c r="M53" t="s">
        <v>420</v>
      </c>
    </row>
    <row r="54" spans="1:13" ht="16">
      <c r="A54" t="s">
        <v>472</v>
      </c>
      <c r="B54" t="s">
        <v>156</v>
      </c>
      <c r="C54" t="s">
        <v>479</v>
      </c>
      <c r="D54" s="26">
        <v>907</v>
      </c>
      <c r="E54" s="26">
        <v>1</v>
      </c>
      <c r="F54" s="8">
        <v>3</v>
      </c>
      <c r="G54" s="8">
        <v>5</v>
      </c>
      <c r="H54" s="8">
        <v>1</v>
      </c>
      <c r="J54">
        <v>4</v>
      </c>
      <c r="K54" t="s">
        <v>413</v>
      </c>
      <c r="L54">
        <v>5</v>
      </c>
      <c r="M54" t="s">
        <v>414</v>
      </c>
    </row>
    <row r="55" spans="1:13" ht="16">
      <c r="A55" t="s">
        <v>472</v>
      </c>
      <c r="B55" t="s">
        <v>156</v>
      </c>
      <c r="C55" t="s">
        <v>479</v>
      </c>
      <c r="D55" s="26">
        <v>895</v>
      </c>
      <c r="E55" s="26">
        <v>1</v>
      </c>
      <c r="F55" s="8">
        <v>5</v>
      </c>
      <c r="G55" s="8">
        <v>3</v>
      </c>
      <c r="H55" s="8">
        <v>0</v>
      </c>
      <c r="J55">
        <v>4</v>
      </c>
      <c r="K55" t="s">
        <v>405</v>
      </c>
      <c r="L55">
        <v>5</v>
      </c>
      <c r="M55" t="s">
        <v>406</v>
      </c>
    </row>
    <row r="56" spans="1:13" ht="16">
      <c r="A56" t="s">
        <v>472</v>
      </c>
      <c r="B56" t="s">
        <v>156</v>
      </c>
      <c r="C56" t="s">
        <v>479</v>
      </c>
      <c r="D56" s="26">
        <v>711</v>
      </c>
      <c r="E56" s="26">
        <v>0</v>
      </c>
      <c r="F56" s="8">
        <v>3</v>
      </c>
      <c r="G56" s="8">
        <v>2</v>
      </c>
      <c r="H56" s="8">
        <v>0</v>
      </c>
      <c r="J56">
        <v>3</v>
      </c>
      <c r="K56" t="s">
        <v>371</v>
      </c>
      <c r="L56">
        <v>4</v>
      </c>
      <c r="M56" t="s">
        <v>372</v>
      </c>
    </row>
    <row r="57" spans="1:13" ht="16">
      <c r="A57" t="s">
        <v>472</v>
      </c>
      <c r="B57" t="s">
        <v>156</v>
      </c>
      <c r="C57" t="s">
        <v>479</v>
      </c>
      <c r="D57" s="26">
        <v>983</v>
      </c>
      <c r="E57" s="26">
        <v>1</v>
      </c>
      <c r="F57" s="8">
        <v>5</v>
      </c>
      <c r="G57" s="8">
        <v>3</v>
      </c>
      <c r="H57" s="8">
        <v>1</v>
      </c>
      <c r="J57">
        <v>4</v>
      </c>
      <c r="K57" t="s">
        <v>429</v>
      </c>
      <c r="L57">
        <v>5</v>
      </c>
      <c r="M57" t="s">
        <v>430</v>
      </c>
    </row>
    <row r="58" spans="1:13" ht="16">
      <c r="A58" t="s">
        <v>472</v>
      </c>
      <c r="B58" t="s">
        <v>156</v>
      </c>
      <c r="C58" t="s">
        <v>479</v>
      </c>
      <c r="D58" s="26">
        <v>23</v>
      </c>
      <c r="E58" s="26">
        <v>0</v>
      </c>
      <c r="F58" s="8">
        <v>2</v>
      </c>
      <c r="G58" s="8">
        <v>1</v>
      </c>
      <c r="H58" s="8">
        <v>0</v>
      </c>
      <c r="J58">
        <v>4</v>
      </c>
      <c r="K58" t="s">
        <v>238</v>
      </c>
      <c r="L58">
        <v>4</v>
      </c>
      <c r="M58" t="s">
        <v>239</v>
      </c>
    </row>
    <row r="59" spans="1:13" ht="16">
      <c r="A59" t="s">
        <v>472</v>
      </c>
      <c r="B59" t="s">
        <v>156</v>
      </c>
      <c r="C59" t="s">
        <v>479</v>
      </c>
      <c r="D59" s="26">
        <v>81</v>
      </c>
      <c r="E59" s="26">
        <v>1</v>
      </c>
      <c r="F59" s="8">
        <v>3</v>
      </c>
      <c r="G59" s="8">
        <v>3</v>
      </c>
      <c r="H59" s="8">
        <v>1</v>
      </c>
      <c r="J59">
        <v>4</v>
      </c>
      <c r="K59" t="s">
        <v>250</v>
      </c>
      <c r="L59">
        <v>5</v>
      </c>
      <c r="M59" t="s">
        <v>251</v>
      </c>
    </row>
    <row r="60" spans="1:13" ht="16">
      <c r="A60" t="s">
        <v>472</v>
      </c>
      <c r="B60" t="s">
        <v>156</v>
      </c>
      <c r="C60" t="s">
        <v>479</v>
      </c>
      <c r="D60" s="26">
        <v>177</v>
      </c>
      <c r="E60" s="26">
        <v>1</v>
      </c>
      <c r="F60" s="8">
        <v>5</v>
      </c>
      <c r="G60" s="8">
        <v>3</v>
      </c>
      <c r="H60" s="8">
        <v>1</v>
      </c>
      <c r="J60">
        <v>4</v>
      </c>
      <c r="K60" t="s">
        <v>260</v>
      </c>
      <c r="L60">
        <v>5</v>
      </c>
      <c r="M60" t="s">
        <v>261</v>
      </c>
    </row>
    <row r="61" spans="1:13" ht="16">
      <c r="A61" t="s">
        <v>472</v>
      </c>
      <c r="B61" t="s">
        <v>156</v>
      </c>
      <c r="C61" t="s">
        <v>479</v>
      </c>
      <c r="D61" s="26">
        <v>815</v>
      </c>
      <c r="E61" s="26">
        <v>1</v>
      </c>
      <c r="F61" s="8">
        <v>5</v>
      </c>
      <c r="G61" s="8">
        <v>4</v>
      </c>
      <c r="H61" s="8">
        <v>0</v>
      </c>
      <c r="J61">
        <v>4</v>
      </c>
      <c r="K61" t="s">
        <v>393</v>
      </c>
      <c r="L61">
        <v>5</v>
      </c>
      <c r="M61" t="s">
        <v>394</v>
      </c>
    </row>
    <row r="62" spans="1:13" ht="16">
      <c r="A62" t="s">
        <v>472</v>
      </c>
      <c r="B62" t="s">
        <v>10</v>
      </c>
      <c r="C62" t="s">
        <v>480</v>
      </c>
      <c r="D62" s="26">
        <v>791</v>
      </c>
      <c r="E62" s="26">
        <v>0</v>
      </c>
      <c r="F62" s="8">
        <v>2</v>
      </c>
      <c r="G62" s="8">
        <v>4</v>
      </c>
      <c r="H62" s="8">
        <v>0</v>
      </c>
      <c r="J62">
        <v>4</v>
      </c>
      <c r="K62" t="s">
        <v>387</v>
      </c>
      <c r="L62">
        <v>5</v>
      </c>
      <c r="M62" t="s">
        <v>388</v>
      </c>
    </row>
    <row r="63" spans="1:13" ht="16">
      <c r="A63" t="s">
        <v>472</v>
      </c>
      <c r="B63" t="s">
        <v>10</v>
      </c>
      <c r="C63" t="s">
        <v>480</v>
      </c>
      <c r="D63" s="26">
        <v>20</v>
      </c>
      <c r="E63" s="26">
        <v>0</v>
      </c>
      <c r="F63" s="8">
        <v>2</v>
      </c>
      <c r="G63" s="8">
        <v>5</v>
      </c>
      <c r="H63" s="8">
        <v>1</v>
      </c>
      <c r="J63">
        <v>4</v>
      </c>
      <c r="K63" t="s">
        <v>236</v>
      </c>
      <c r="L63">
        <v>4</v>
      </c>
      <c r="M63" t="s">
        <v>237</v>
      </c>
    </row>
    <row r="64" spans="1:13" ht="16">
      <c r="A64" t="s">
        <v>472</v>
      </c>
      <c r="B64" t="s">
        <v>10</v>
      </c>
      <c r="C64" t="s">
        <v>480</v>
      </c>
      <c r="D64" s="26">
        <v>676</v>
      </c>
      <c r="E64" s="26">
        <v>0</v>
      </c>
      <c r="F64" s="8">
        <v>2</v>
      </c>
      <c r="G64" s="8">
        <v>5</v>
      </c>
      <c r="H64" s="8">
        <v>0</v>
      </c>
      <c r="J64">
        <v>2</v>
      </c>
      <c r="K64" t="s">
        <v>365</v>
      </c>
      <c r="L64">
        <v>3</v>
      </c>
      <c r="M64" t="s">
        <v>366</v>
      </c>
    </row>
    <row r="65" spans="1:13" ht="16">
      <c r="A65" t="s">
        <v>472</v>
      </c>
      <c r="B65" t="s">
        <v>10</v>
      </c>
      <c r="C65" t="s">
        <v>480</v>
      </c>
      <c r="D65" s="26">
        <v>938</v>
      </c>
      <c r="E65" s="26">
        <v>0</v>
      </c>
      <c r="F65" s="8">
        <v>2</v>
      </c>
      <c r="G65" s="8">
        <v>5</v>
      </c>
      <c r="H65" s="8">
        <v>1</v>
      </c>
      <c r="J65">
        <v>5</v>
      </c>
      <c r="K65" t="s">
        <v>417</v>
      </c>
      <c r="L65">
        <v>5</v>
      </c>
      <c r="M65" t="s">
        <v>418</v>
      </c>
    </row>
    <row r="66" spans="1:13" ht="16">
      <c r="A66" t="s">
        <v>472</v>
      </c>
      <c r="B66" t="s">
        <v>10</v>
      </c>
      <c r="C66" t="s">
        <v>480</v>
      </c>
      <c r="D66" s="26">
        <v>855</v>
      </c>
      <c r="E66" s="26">
        <v>1</v>
      </c>
      <c r="F66" s="8">
        <v>5</v>
      </c>
      <c r="G66" s="8">
        <v>5</v>
      </c>
      <c r="H66" s="8">
        <v>0</v>
      </c>
      <c r="J66">
        <v>5</v>
      </c>
      <c r="K66" t="s">
        <v>397</v>
      </c>
      <c r="L66">
        <v>5</v>
      </c>
      <c r="M66" t="s">
        <v>398</v>
      </c>
    </row>
    <row r="67" spans="1:13" ht="16">
      <c r="A67" t="s">
        <v>472</v>
      </c>
      <c r="B67" t="s">
        <v>10</v>
      </c>
      <c r="C67" t="s">
        <v>480</v>
      </c>
      <c r="D67" s="26">
        <v>899</v>
      </c>
      <c r="E67" s="26">
        <v>0</v>
      </c>
      <c r="F67" s="8">
        <v>2</v>
      </c>
      <c r="G67" s="8">
        <v>5</v>
      </c>
      <c r="H67" s="8">
        <v>0</v>
      </c>
      <c r="J67">
        <v>5</v>
      </c>
      <c r="K67" t="s">
        <v>409</v>
      </c>
      <c r="L67">
        <v>5</v>
      </c>
      <c r="M67" t="s">
        <v>410</v>
      </c>
    </row>
    <row r="68" spans="1:13" ht="16">
      <c r="A68" t="s">
        <v>472</v>
      </c>
      <c r="B68" t="s">
        <v>10</v>
      </c>
      <c r="C68" t="s">
        <v>480</v>
      </c>
      <c r="D68" s="26">
        <v>157</v>
      </c>
      <c r="E68" s="26">
        <v>0</v>
      </c>
      <c r="F68" s="8">
        <v>3</v>
      </c>
      <c r="G68" s="8">
        <v>5</v>
      </c>
      <c r="H68" s="8">
        <v>0</v>
      </c>
      <c r="J68">
        <v>4</v>
      </c>
      <c r="K68" t="s">
        <v>258</v>
      </c>
      <c r="L68">
        <v>5</v>
      </c>
      <c r="M68" t="s">
        <v>259</v>
      </c>
    </row>
    <row r="69" spans="1:13" ht="16">
      <c r="A69" t="s">
        <v>472</v>
      </c>
      <c r="B69" t="s">
        <v>10</v>
      </c>
      <c r="C69" t="s">
        <v>480</v>
      </c>
      <c r="D69" s="26">
        <v>805</v>
      </c>
      <c r="E69" s="26">
        <v>0</v>
      </c>
      <c r="F69" s="8">
        <v>3</v>
      </c>
      <c r="G69" s="8">
        <v>5</v>
      </c>
      <c r="H69" s="8">
        <v>0</v>
      </c>
      <c r="J69">
        <v>4</v>
      </c>
      <c r="K69" t="s">
        <v>389</v>
      </c>
      <c r="L69">
        <v>5</v>
      </c>
      <c r="M69" t="s">
        <v>390</v>
      </c>
    </row>
    <row r="70" spans="1:13" ht="16">
      <c r="A70" t="s">
        <v>472</v>
      </c>
      <c r="B70" t="s">
        <v>10</v>
      </c>
      <c r="C70" t="s">
        <v>480</v>
      </c>
      <c r="D70" s="26">
        <v>503</v>
      </c>
      <c r="E70" s="26">
        <v>1</v>
      </c>
      <c r="F70" s="8">
        <v>5</v>
      </c>
      <c r="G70" s="8">
        <v>5</v>
      </c>
      <c r="H70" s="8">
        <v>0</v>
      </c>
      <c r="J70">
        <v>4</v>
      </c>
      <c r="K70" t="s">
        <v>329</v>
      </c>
      <c r="L70">
        <v>5</v>
      </c>
      <c r="M70" t="s">
        <v>330</v>
      </c>
    </row>
    <row r="71" spans="1:13" ht="16">
      <c r="A71" t="s">
        <v>472</v>
      </c>
      <c r="B71" t="s">
        <v>10</v>
      </c>
      <c r="C71" t="s">
        <v>480</v>
      </c>
      <c r="D71" s="26">
        <v>646</v>
      </c>
      <c r="E71" s="26">
        <v>0</v>
      </c>
      <c r="F71" s="8">
        <v>2</v>
      </c>
      <c r="G71" s="8">
        <v>5</v>
      </c>
      <c r="H71" s="8">
        <v>1</v>
      </c>
      <c r="J71">
        <v>2</v>
      </c>
      <c r="K71" t="s">
        <v>357</v>
      </c>
      <c r="L71">
        <v>3</v>
      </c>
      <c r="M71" t="s">
        <v>358</v>
      </c>
    </row>
    <row r="72" spans="1:13" ht="16">
      <c r="A72" t="s">
        <v>472</v>
      </c>
      <c r="B72" t="s">
        <v>16</v>
      </c>
      <c r="C72" t="s">
        <v>481</v>
      </c>
      <c r="D72" s="26">
        <v>883</v>
      </c>
      <c r="E72" s="26">
        <v>1</v>
      </c>
      <c r="F72" s="8">
        <v>5</v>
      </c>
      <c r="G72" s="8">
        <v>5</v>
      </c>
      <c r="H72" s="8">
        <v>0</v>
      </c>
      <c r="J72">
        <v>4</v>
      </c>
      <c r="K72" t="s">
        <v>403</v>
      </c>
      <c r="L72">
        <v>5</v>
      </c>
      <c r="M72" t="s">
        <v>404</v>
      </c>
    </row>
    <row r="73" spans="1:13" ht="16">
      <c r="A73" t="s">
        <v>472</v>
      </c>
      <c r="B73" t="s">
        <v>16</v>
      </c>
      <c r="C73" t="s">
        <v>481</v>
      </c>
      <c r="D73" s="26">
        <v>79</v>
      </c>
      <c r="E73" s="26">
        <v>1</v>
      </c>
      <c r="F73" s="8">
        <v>5</v>
      </c>
      <c r="G73" s="8">
        <v>5</v>
      </c>
      <c r="H73" s="8">
        <v>0</v>
      </c>
      <c r="J73">
        <v>4</v>
      </c>
      <c r="K73" t="s">
        <v>248</v>
      </c>
      <c r="L73">
        <v>5</v>
      </c>
      <c r="M73" t="s">
        <v>249</v>
      </c>
    </row>
    <row r="74" spans="1:13" ht="16">
      <c r="A74" t="s">
        <v>472</v>
      </c>
      <c r="B74" t="s">
        <v>16</v>
      </c>
      <c r="C74" t="s">
        <v>481</v>
      </c>
      <c r="D74" s="26">
        <v>508</v>
      </c>
      <c r="E74" s="26">
        <v>1</v>
      </c>
      <c r="F74" s="8">
        <v>5</v>
      </c>
      <c r="G74" s="8">
        <v>4</v>
      </c>
      <c r="H74" s="8">
        <v>0</v>
      </c>
      <c r="J74">
        <v>4</v>
      </c>
      <c r="K74" t="s">
        <v>331</v>
      </c>
      <c r="L74">
        <v>5</v>
      </c>
      <c r="M74" t="s">
        <v>332</v>
      </c>
    </row>
    <row r="75" spans="1:13" ht="16">
      <c r="A75" t="s">
        <v>472</v>
      </c>
      <c r="B75" t="s">
        <v>16</v>
      </c>
      <c r="C75" t="s">
        <v>481</v>
      </c>
      <c r="D75" s="26">
        <v>4</v>
      </c>
      <c r="E75" s="26">
        <v>1</v>
      </c>
      <c r="F75" s="8">
        <v>5</v>
      </c>
      <c r="G75" s="8">
        <v>5</v>
      </c>
      <c r="H75" s="8">
        <v>1</v>
      </c>
      <c r="J75">
        <v>4</v>
      </c>
      <c r="K75" t="s">
        <v>232</v>
      </c>
      <c r="L75">
        <v>5</v>
      </c>
      <c r="M75" t="s">
        <v>233</v>
      </c>
    </row>
    <row r="76" spans="1:13" ht="16">
      <c r="A76" t="s">
        <v>472</v>
      </c>
      <c r="B76" t="s">
        <v>16</v>
      </c>
      <c r="C76" t="s">
        <v>481</v>
      </c>
      <c r="D76" s="26">
        <v>982</v>
      </c>
      <c r="E76" s="26">
        <v>1</v>
      </c>
      <c r="F76" s="8">
        <v>4</v>
      </c>
      <c r="G76" s="8">
        <v>3</v>
      </c>
      <c r="H76" s="8">
        <v>0</v>
      </c>
      <c r="J76">
        <v>4</v>
      </c>
      <c r="K76" t="s">
        <v>425</v>
      </c>
      <c r="L76">
        <v>5</v>
      </c>
      <c r="M76" t="s">
        <v>426</v>
      </c>
    </row>
    <row r="77" spans="1:13" ht="16">
      <c r="A77" t="s">
        <v>472</v>
      </c>
      <c r="B77" t="s">
        <v>16</v>
      </c>
      <c r="C77" t="s">
        <v>481</v>
      </c>
      <c r="D77" s="26">
        <v>788</v>
      </c>
      <c r="E77" s="26">
        <v>1</v>
      </c>
      <c r="F77" s="8">
        <v>5</v>
      </c>
      <c r="G77" s="8">
        <v>5</v>
      </c>
      <c r="H77" s="8">
        <v>0</v>
      </c>
      <c r="J77">
        <v>4</v>
      </c>
      <c r="K77" t="s">
        <v>385</v>
      </c>
      <c r="L77">
        <v>5</v>
      </c>
      <c r="M77" t="s">
        <v>386</v>
      </c>
    </row>
    <row r="78" spans="1:13" ht="16">
      <c r="A78" t="s">
        <v>472</v>
      </c>
      <c r="B78" t="s">
        <v>16</v>
      </c>
      <c r="C78" t="s">
        <v>481</v>
      </c>
      <c r="D78" s="26">
        <v>146</v>
      </c>
      <c r="E78" s="26">
        <v>0</v>
      </c>
      <c r="F78" s="26">
        <v>1</v>
      </c>
      <c r="G78" s="26">
        <v>1</v>
      </c>
      <c r="H78" s="26">
        <v>0</v>
      </c>
      <c r="J78">
        <v>1</v>
      </c>
      <c r="K78" t="s">
        <v>256</v>
      </c>
      <c r="L78">
        <v>1</v>
      </c>
      <c r="M78" t="s">
        <v>257</v>
      </c>
    </row>
    <row r="79" spans="1:13" ht="16">
      <c r="A79" t="s">
        <v>472</v>
      </c>
      <c r="B79" t="s">
        <v>16</v>
      </c>
      <c r="C79" t="s">
        <v>481</v>
      </c>
      <c r="D79" s="26">
        <v>104</v>
      </c>
      <c r="E79" s="26">
        <v>0</v>
      </c>
      <c r="F79" s="26">
        <v>1</v>
      </c>
      <c r="G79" s="26">
        <v>1</v>
      </c>
      <c r="H79" s="26">
        <v>0</v>
      </c>
      <c r="J79">
        <v>1</v>
      </c>
      <c r="K79" t="s">
        <v>252</v>
      </c>
      <c r="L79">
        <v>1</v>
      </c>
      <c r="M79" t="s">
        <v>253</v>
      </c>
    </row>
    <row r="80" spans="1:13" ht="16">
      <c r="A80" t="s">
        <v>472</v>
      </c>
      <c r="B80" t="s">
        <v>16</v>
      </c>
      <c r="C80" t="s">
        <v>481</v>
      </c>
      <c r="D80" s="26">
        <v>495</v>
      </c>
      <c r="E80" s="26">
        <v>0</v>
      </c>
      <c r="F80" s="8">
        <v>3</v>
      </c>
      <c r="G80" s="8">
        <v>5</v>
      </c>
      <c r="H80" s="8">
        <v>1</v>
      </c>
      <c r="J80">
        <v>4</v>
      </c>
      <c r="K80" t="s">
        <v>327</v>
      </c>
      <c r="L80">
        <v>4</v>
      </c>
      <c r="M80" t="s">
        <v>328</v>
      </c>
    </row>
    <row r="81" spans="1:13" ht="16">
      <c r="A81" t="s">
        <v>472</v>
      </c>
      <c r="B81" t="s">
        <v>16</v>
      </c>
      <c r="C81" t="s">
        <v>481</v>
      </c>
      <c r="D81" s="26">
        <v>308</v>
      </c>
      <c r="E81" s="26">
        <v>0</v>
      </c>
      <c r="F81" s="8">
        <v>3</v>
      </c>
      <c r="G81" s="8">
        <v>5</v>
      </c>
      <c r="H81" s="8">
        <v>0</v>
      </c>
      <c r="J81">
        <v>4</v>
      </c>
      <c r="K81" t="s">
        <v>289</v>
      </c>
      <c r="L81">
        <v>4</v>
      </c>
      <c r="M81" t="s">
        <v>290</v>
      </c>
    </row>
  </sheetData>
  <sortState xmlns:xlrd2="http://schemas.microsoft.com/office/spreadsheetml/2017/richdata2" ref="A2:M81">
    <sortCondition ref="A2:A8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D4ED-59CB-4DBA-B3D1-145B549CE1BA}">
  <dimension ref="A2:D8"/>
  <sheetViews>
    <sheetView zoomScale="70" workbookViewId="0">
      <selection activeCell="A6" sqref="A6:D8"/>
    </sheetView>
  </sheetViews>
  <sheetFormatPr defaultRowHeight="14.5"/>
  <cols>
    <col min="1" max="1" width="31.7265625" bestFit="1" customWidth="1"/>
    <col min="2" max="2" width="15.6328125" bestFit="1" customWidth="1"/>
    <col min="3" max="3" width="2.81640625" bestFit="1" customWidth="1"/>
    <col min="4" max="4" width="10.36328125" bestFit="1" customWidth="1"/>
    <col min="5" max="5" width="1.81640625" bestFit="1" customWidth="1"/>
    <col min="6" max="6" width="10.36328125" bestFit="1" customWidth="1"/>
  </cols>
  <sheetData>
    <row r="2" spans="1:4">
      <c r="A2" s="33" t="s">
        <v>141</v>
      </c>
      <c r="B2" t="s" vm="1">
        <v>497</v>
      </c>
    </row>
    <row r="4" spans="1:4">
      <c r="A4" s="33" t="s">
        <v>501</v>
      </c>
      <c r="B4" s="33" t="s">
        <v>482</v>
      </c>
    </row>
    <row r="5" spans="1:4">
      <c r="A5" s="33" t="s">
        <v>450</v>
      </c>
      <c r="B5">
        <v>0</v>
      </c>
      <c r="C5">
        <v>1</v>
      </c>
      <c r="D5" t="s">
        <v>483</v>
      </c>
    </row>
    <row r="6" spans="1:4">
      <c r="A6" s="25" t="s">
        <v>272</v>
      </c>
      <c r="B6">
        <v>2</v>
      </c>
      <c r="C6">
        <v>38</v>
      </c>
      <c r="D6">
        <v>40</v>
      </c>
    </row>
    <row r="7" spans="1:4">
      <c r="A7" s="25" t="s">
        <v>472</v>
      </c>
      <c r="B7">
        <v>14</v>
      </c>
      <c r="C7">
        <v>26</v>
      </c>
      <c r="D7">
        <v>40</v>
      </c>
    </row>
    <row r="8" spans="1:4">
      <c r="A8" s="25" t="s">
        <v>483</v>
      </c>
      <c r="B8">
        <v>16</v>
      </c>
      <c r="C8">
        <v>64</v>
      </c>
      <c r="D8">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3130-50D6-467C-9B08-10251FB482B8}">
  <dimension ref="A2:I10"/>
  <sheetViews>
    <sheetView zoomScale="111" workbookViewId="0">
      <selection activeCell="B10" sqref="B10"/>
    </sheetView>
  </sheetViews>
  <sheetFormatPr defaultRowHeight="14.5"/>
  <cols>
    <col min="6" max="6" width="19.36328125" customWidth="1"/>
  </cols>
  <sheetData>
    <row r="2" spans="1:9">
      <c r="A2" s="37" t="s">
        <v>141</v>
      </c>
      <c r="F2" t="s">
        <v>138</v>
      </c>
    </row>
    <row r="3" spans="1:9">
      <c r="A3" t="s">
        <v>450</v>
      </c>
      <c r="B3" t="s">
        <v>500</v>
      </c>
      <c r="C3" t="s">
        <v>499</v>
      </c>
      <c r="D3" t="s">
        <v>483</v>
      </c>
      <c r="F3" t="s">
        <v>450</v>
      </c>
      <c r="G3" t="s">
        <v>499</v>
      </c>
      <c r="H3" t="s">
        <v>500</v>
      </c>
      <c r="I3" t="s">
        <v>483</v>
      </c>
    </row>
    <row r="4" spans="1:9">
      <c r="A4" t="s">
        <v>272</v>
      </c>
      <c r="B4">
        <v>38</v>
      </c>
      <c r="C4">
        <v>2</v>
      </c>
      <c r="D4">
        <v>40</v>
      </c>
      <c r="F4" t="s">
        <v>272</v>
      </c>
      <c r="G4">
        <v>2</v>
      </c>
      <c r="H4">
        <v>38</v>
      </c>
      <c r="I4">
        <v>40</v>
      </c>
    </row>
    <row r="5" spans="1:9">
      <c r="A5" t="s">
        <v>472</v>
      </c>
      <c r="B5">
        <v>30</v>
      </c>
      <c r="C5">
        <v>10</v>
      </c>
      <c r="D5">
        <v>40</v>
      </c>
      <c r="F5" t="s">
        <v>472</v>
      </c>
      <c r="G5">
        <v>14</v>
      </c>
      <c r="H5">
        <v>26</v>
      </c>
      <c r="I5">
        <v>40</v>
      </c>
    </row>
    <row r="6" spans="1:9">
      <c r="A6" t="s">
        <v>483</v>
      </c>
      <c r="B6">
        <v>68</v>
      </c>
      <c r="C6">
        <v>12</v>
      </c>
      <c r="D6">
        <v>80</v>
      </c>
      <c r="F6" t="s">
        <v>483</v>
      </c>
      <c r="G6">
        <v>16</v>
      </c>
      <c r="H6">
        <v>64</v>
      </c>
      <c r="I6">
        <v>80</v>
      </c>
    </row>
    <row r="8" spans="1:9">
      <c r="A8" s="38" t="s">
        <v>498</v>
      </c>
      <c r="F8" s="38" t="s">
        <v>498</v>
      </c>
    </row>
    <row r="9" spans="1:9">
      <c r="A9" t="s">
        <v>272</v>
      </c>
      <c r="B9">
        <f>($D$4*B$6)/$D$6</f>
        <v>34</v>
      </c>
      <c r="C9">
        <f>($D$4*C$6)/$D$6</f>
        <v>6</v>
      </c>
      <c r="F9" t="s">
        <v>272</v>
      </c>
      <c r="G9">
        <f>($I$4*G$6)/$I$6</f>
        <v>8</v>
      </c>
      <c r="H9">
        <f>($I$4*H$6)/$I$6</f>
        <v>32</v>
      </c>
    </row>
    <row r="10" spans="1:9">
      <c r="A10" t="s">
        <v>472</v>
      </c>
      <c r="B10">
        <f>($D$5*B6)/$D$6</f>
        <v>34</v>
      </c>
      <c r="C10">
        <f>($D$5*C6)/$D$6</f>
        <v>6</v>
      </c>
      <c r="F10" t="s">
        <v>472</v>
      </c>
      <c r="G10">
        <f>($I$5*G6)/$I$6</f>
        <v>8</v>
      </c>
      <c r="H10">
        <f>($I$5*H6)/$I$6</f>
        <v>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E8423-0AFE-49E5-B3F7-856283B86A06}">
  <dimension ref="A1:V42"/>
  <sheetViews>
    <sheetView zoomScale="56" workbookViewId="0">
      <selection activeCell="O14" sqref="O14"/>
    </sheetView>
  </sheetViews>
  <sheetFormatPr defaultRowHeight="14.5"/>
  <cols>
    <col min="1" max="1" width="9.81640625" customWidth="1"/>
    <col min="2" max="2" width="24.6328125" customWidth="1"/>
    <col min="4" max="4" width="12.54296875" customWidth="1"/>
    <col min="5" max="5" width="14.36328125" customWidth="1"/>
    <col min="8" max="8" width="15.08984375" customWidth="1"/>
    <col min="11" max="11" width="19" customWidth="1"/>
    <col min="14" max="14" width="22.453125" customWidth="1"/>
    <col min="15" max="15" width="18.1796875" customWidth="1"/>
    <col min="16" max="16" width="13.81640625" customWidth="1"/>
    <col min="21" max="22" width="16.1796875" customWidth="1"/>
  </cols>
  <sheetData>
    <row r="1" spans="1:22">
      <c r="A1" t="s">
        <v>272</v>
      </c>
      <c r="B1" t="s">
        <v>472</v>
      </c>
      <c r="D1" t="s">
        <v>272</v>
      </c>
      <c r="E1" t="s">
        <v>472</v>
      </c>
      <c r="G1" t="s">
        <v>272</v>
      </c>
      <c r="H1" t="s">
        <v>472</v>
      </c>
      <c r="J1" t="s">
        <v>272</v>
      </c>
      <c r="K1" t="s">
        <v>472</v>
      </c>
    </row>
    <row r="2" spans="1:22" ht="58">
      <c r="A2" s="31" t="s">
        <v>139</v>
      </c>
      <c r="B2" s="31" t="s">
        <v>139</v>
      </c>
      <c r="D2" s="31" t="s">
        <v>140</v>
      </c>
      <c r="E2" s="31" t="s">
        <v>140</v>
      </c>
      <c r="G2" s="20" t="s">
        <v>473</v>
      </c>
      <c r="H2" s="20" t="s">
        <v>473</v>
      </c>
      <c r="J2" s="20" t="s">
        <v>475</v>
      </c>
      <c r="K2" s="20" t="s">
        <v>475</v>
      </c>
      <c r="N2" s="31" t="s">
        <v>139</v>
      </c>
      <c r="O2" t="s">
        <v>272</v>
      </c>
      <c r="P2" t="s">
        <v>472</v>
      </c>
      <c r="T2" s="20" t="s">
        <v>473</v>
      </c>
      <c r="U2" t="s">
        <v>272</v>
      </c>
      <c r="V2" t="s">
        <v>472</v>
      </c>
    </row>
    <row r="3" spans="1:22" ht="16">
      <c r="A3" s="8">
        <v>5</v>
      </c>
      <c r="B3" s="8">
        <v>5</v>
      </c>
      <c r="D3" s="8">
        <v>4</v>
      </c>
      <c r="E3" s="8">
        <v>3</v>
      </c>
      <c r="G3">
        <v>5</v>
      </c>
      <c r="H3">
        <v>3</v>
      </c>
      <c r="J3">
        <v>5</v>
      </c>
      <c r="K3">
        <v>4</v>
      </c>
      <c r="N3" t="s">
        <v>484</v>
      </c>
      <c r="T3" t="s">
        <v>484</v>
      </c>
    </row>
    <row r="4" spans="1:22" ht="16.5" thickBot="1">
      <c r="A4" s="8">
        <v>5</v>
      </c>
      <c r="B4" s="8">
        <v>5</v>
      </c>
      <c r="D4" s="8">
        <v>2</v>
      </c>
      <c r="E4" s="8">
        <v>2</v>
      </c>
      <c r="G4">
        <v>4</v>
      </c>
      <c r="H4">
        <v>4</v>
      </c>
      <c r="J4">
        <v>4</v>
      </c>
      <c r="K4">
        <v>4</v>
      </c>
    </row>
    <row r="5" spans="1:22" ht="16">
      <c r="A5" s="8">
        <v>5</v>
      </c>
      <c r="B5" s="8">
        <v>5</v>
      </c>
      <c r="D5" s="8">
        <v>5</v>
      </c>
      <c r="E5" s="8">
        <v>2</v>
      </c>
      <c r="G5">
        <v>5</v>
      </c>
      <c r="H5">
        <v>4</v>
      </c>
      <c r="J5">
        <v>5</v>
      </c>
      <c r="K5">
        <v>4</v>
      </c>
      <c r="N5" s="35"/>
      <c r="O5" s="35" t="s">
        <v>485</v>
      </c>
      <c r="P5" s="35" t="s">
        <v>486</v>
      </c>
      <c r="T5" s="35"/>
      <c r="U5" s="35" t="s">
        <v>485</v>
      </c>
      <c r="V5" s="35" t="s">
        <v>486</v>
      </c>
    </row>
    <row r="6" spans="1:22" ht="16">
      <c r="A6" s="8">
        <v>5</v>
      </c>
      <c r="B6" s="8">
        <v>5</v>
      </c>
      <c r="D6" s="8">
        <v>5</v>
      </c>
      <c r="E6" s="8">
        <v>5</v>
      </c>
      <c r="G6">
        <v>4</v>
      </c>
      <c r="H6">
        <v>4</v>
      </c>
      <c r="J6">
        <v>5</v>
      </c>
      <c r="K6">
        <v>5</v>
      </c>
      <c r="N6" t="s">
        <v>487</v>
      </c>
      <c r="O6">
        <v>4.8</v>
      </c>
      <c r="P6">
        <v>3.85</v>
      </c>
      <c r="T6" t="s">
        <v>487</v>
      </c>
      <c r="U6">
        <v>4.1500000000000004</v>
      </c>
      <c r="V6">
        <v>3.75</v>
      </c>
    </row>
    <row r="7" spans="1:22" ht="16">
      <c r="A7" s="8">
        <v>5</v>
      </c>
      <c r="B7" s="8">
        <v>5</v>
      </c>
      <c r="D7" s="8">
        <v>5</v>
      </c>
      <c r="E7" s="8">
        <v>4</v>
      </c>
      <c r="G7">
        <v>5</v>
      </c>
      <c r="H7">
        <v>3</v>
      </c>
      <c r="J7">
        <v>5</v>
      </c>
      <c r="K7">
        <v>4</v>
      </c>
      <c r="N7" t="s">
        <v>488</v>
      </c>
      <c r="O7">
        <v>0.52307692307692244</v>
      </c>
      <c r="P7">
        <v>1.9256410256410261</v>
      </c>
      <c r="T7" t="s">
        <v>488</v>
      </c>
      <c r="U7">
        <v>0.48974358974359034</v>
      </c>
      <c r="V7">
        <v>0.80769230769230771</v>
      </c>
    </row>
    <row r="8" spans="1:22" ht="16">
      <c r="A8" s="8">
        <v>5</v>
      </c>
      <c r="B8" s="8">
        <v>5</v>
      </c>
      <c r="D8" s="8">
        <v>5</v>
      </c>
      <c r="E8" s="8">
        <v>5</v>
      </c>
      <c r="G8">
        <v>4</v>
      </c>
      <c r="H8">
        <v>4</v>
      </c>
      <c r="J8">
        <v>4</v>
      </c>
      <c r="K8">
        <v>5</v>
      </c>
      <c r="N8" t="s">
        <v>489</v>
      </c>
      <c r="O8">
        <v>40</v>
      </c>
      <c r="P8">
        <v>40</v>
      </c>
      <c r="T8" t="s">
        <v>489</v>
      </c>
      <c r="U8">
        <v>40</v>
      </c>
      <c r="V8">
        <v>40</v>
      </c>
    </row>
    <row r="9" spans="1:22" ht="16">
      <c r="A9" s="8">
        <v>5</v>
      </c>
      <c r="B9" s="8">
        <v>5</v>
      </c>
      <c r="D9" s="8">
        <v>3</v>
      </c>
      <c r="E9" s="8">
        <v>3</v>
      </c>
      <c r="G9">
        <v>4</v>
      </c>
      <c r="H9">
        <v>5</v>
      </c>
      <c r="J9">
        <v>5</v>
      </c>
      <c r="K9">
        <v>5</v>
      </c>
      <c r="N9" t="s">
        <v>490</v>
      </c>
      <c r="O9">
        <v>0</v>
      </c>
      <c r="T9" t="s">
        <v>490</v>
      </c>
      <c r="U9">
        <v>0</v>
      </c>
    </row>
    <row r="10" spans="1:22" ht="16">
      <c r="A10" s="8">
        <v>5</v>
      </c>
      <c r="B10" s="8">
        <v>5</v>
      </c>
      <c r="D10" s="8">
        <v>5</v>
      </c>
      <c r="E10" s="8">
        <v>5</v>
      </c>
      <c r="G10">
        <v>5</v>
      </c>
      <c r="H10">
        <v>4</v>
      </c>
      <c r="J10">
        <v>5</v>
      </c>
      <c r="K10">
        <v>4</v>
      </c>
      <c r="N10" t="s">
        <v>491</v>
      </c>
      <c r="O10">
        <v>59</v>
      </c>
      <c r="T10" t="s">
        <v>491</v>
      </c>
      <c r="U10">
        <v>74</v>
      </c>
    </row>
    <row r="11" spans="1:22" ht="16">
      <c r="A11" s="8">
        <v>5</v>
      </c>
      <c r="B11" s="8">
        <v>5</v>
      </c>
      <c r="D11" s="8">
        <v>4</v>
      </c>
      <c r="E11" s="8">
        <v>4</v>
      </c>
      <c r="G11">
        <v>5</v>
      </c>
      <c r="H11">
        <v>4</v>
      </c>
      <c r="J11">
        <v>5</v>
      </c>
      <c r="K11">
        <v>5</v>
      </c>
      <c r="N11" t="s">
        <v>492</v>
      </c>
      <c r="O11">
        <v>3.8395844015939202</v>
      </c>
      <c r="T11" t="s">
        <v>492</v>
      </c>
      <c r="U11">
        <v>2.2209921936176809</v>
      </c>
    </row>
    <row r="12" spans="1:22" ht="16">
      <c r="A12" s="8">
        <v>5</v>
      </c>
      <c r="B12" s="8">
        <v>5</v>
      </c>
      <c r="D12" s="8">
        <v>3</v>
      </c>
      <c r="E12" s="8">
        <v>5</v>
      </c>
      <c r="G12">
        <v>4</v>
      </c>
      <c r="H12">
        <v>3</v>
      </c>
      <c r="J12">
        <v>5</v>
      </c>
      <c r="K12">
        <v>4</v>
      </c>
      <c r="N12" t="s">
        <v>493</v>
      </c>
      <c r="O12">
        <v>1.516079323061831E-4</v>
      </c>
      <c r="T12" t="s">
        <v>493</v>
      </c>
      <c r="U12">
        <v>1.4705669551334866E-2</v>
      </c>
    </row>
    <row r="13" spans="1:22" ht="16">
      <c r="A13" s="8">
        <v>5</v>
      </c>
      <c r="B13" s="8">
        <v>5</v>
      </c>
      <c r="D13" s="8">
        <v>5</v>
      </c>
      <c r="E13" s="8">
        <v>4</v>
      </c>
      <c r="G13">
        <v>4</v>
      </c>
      <c r="H13">
        <v>4</v>
      </c>
      <c r="J13">
        <v>5</v>
      </c>
      <c r="K13">
        <v>5</v>
      </c>
      <c r="N13" t="s">
        <v>494</v>
      </c>
      <c r="O13">
        <v>1.6710930321038957</v>
      </c>
      <c r="T13" t="s">
        <v>494</v>
      </c>
      <c r="U13">
        <v>1.6657068927340244</v>
      </c>
    </row>
    <row r="14" spans="1:22" ht="16">
      <c r="A14" s="8">
        <v>5</v>
      </c>
      <c r="B14" s="8">
        <v>3</v>
      </c>
      <c r="D14" s="8">
        <v>5</v>
      </c>
      <c r="E14" s="8">
        <v>3</v>
      </c>
      <c r="G14">
        <v>4</v>
      </c>
      <c r="H14">
        <v>4</v>
      </c>
      <c r="J14">
        <v>5</v>
      </c>
      <c r="K14">
        <v>5</v>
      </c>
      <c r="N14" t="s">
        <v>495</v>
      </c>
      <c r="O14">
        <v>3.032158646123662E-4</v>
      </c>
      <c r="T14" t="s">
        <v>495</v>
      </c>
      <c r="U14">
        <v>2.9411339102669732E-2</v>
      </c>
    </row>
    <row r="15" spans="1:22" ht="16.5" thickBot="1">
      <c r="A15" s="8">
        <v>5</v>
      </c>
      <c r="B15" s="8">
        <v>3</v>
      </c>
      <c r="D15" s="8">
        <v>5</v>
      </c>
      <c r="E15" s="8">
        <v>5</v>
      </c>
      <c r="G15">
        <v>4</v>
      </c>
      <c r="H15">
        <v>4</v>
      </c>
      <c r="J15">
        <v>5</v>
      </c>
      <c r="K15">
        <v>5</v>
      </c>
      <c r="N15" s="34" t="s">
        <v>496</v>
      </c>
      <c r="O15" s="34">
        <v>2.0009953780882688</v>
      </c>
      <c r="P15" s="34"/>
      <c r="T15" s="34" t="s">
        <v>496</v>
      </c>
      <c r="U15" s="34">
        <v>1.992543495180934</v>
      </c>
      <c r="V15" s="34"/>
    </row>
    <row r="16" spans="1:22" ht="16">
      <c r="A16" s="8">
        <v>5</v>
      </c>
      <c r="B16" s="8">
        <v>5</v>
      </c>
      <c r="D16" s="8">
        <v>5</v>
      </c>
      <c r="E16" s="8">
        <v>3</v>
      </c>
      <c r="G16">
        <v>4</v>
      </c>
      <c r="H16">
        <v>4</v>
      </c>
      <c r="J16">
        <v>5</v>
      </c>
      <c r="K16">
        <v>5</v>
      </c>
    </row>
    <row r="17" spans="1:22" ht="16">
      <c r="A17" s="8">
        <v>5</v>
      </c>
      <c r="B17" s="8">
        <v>3</v>
      </c>
      <c r="D17" s="8">
        <v>5</v>
      </c>
      <c r="E17" s="8">
        <v>2</v>
      </c>
      <c r="G17">
        <v>4</v>
      </c>
      <c r="H17">
        <v>3</v>
      </c>
      <c r="J17">
        <v>5</v>
      </c>
      <c r="K17">
        <v>4</v>
      </c>
      <c r="N17" s="36"/>
    </row>
    <row r="18" spans="1:22" ht="58">
      <c r="A18" s="8">
        <v>5</v>
      </c>
      <c r="B18" s="8">
        <v>5</v>
      </c>
      <c r="D18" s="8">
        <v>5</v>
      </c>
      <c r="E18" s="8">
        <v>3</v>
      </c>
      <c r="G18">
        <v>4</v>
      </c>
      <c r="H18">
        <v>4</v>
      </c>
      <c r="J18">
        <v>5</v>
      </c>
      <c r="K18">
        <v>5</v>
      </c>
      <c r="N18" s="31" t="s">
        <v>140</v>
      </c>
      <c r="O18" t="s">
        <v>272</v>
      </c>
      <c r="P18" t="s">
        <v>472</v>
      </c>
      <c r="T18" s="20" t="s">
        <v>475</v>
      </c>
      <c r="U18" t="s">
        <v>272</v>
      </c>
      <c r="V18" t="s">
        <v>472</v>
      </c>
    </row>
    <row r="19" spans="1:22" ht="16">
      <c r="A19" s="8">
        <v>5</v>
      </c>
      <c r="B19" s="8">
        <v>2</v>
      </c>
      <c r="D19" s="8">
        <v>4</v>
      </c>
      <c r="E19" s="8">
        <v>1</v>
      </c>
      <c r="G19">
        <v>4</v>
      </c>
      <c r="H19">
        <v>4</v>
      </c>
      <c r="J19">
        <v>5</v>
      </c>
      <c r="K19">
        <v>4</v>
      </c>
      <c r="N19" t="s">
        <v>484</v>
      </c>
      <c r="T19" t="s">
        <v>484</v>
      </c>
    </row>
    <row r="20" spans="1:22" ht="16.5" thickBot="1">
      <c r="A20" s="8">
        <v>5</v>
      </c>
      <c r="B20" s="8">
        <v>3</v>
      </c>
      <c r="D20" s="8">
        <v>5</v>
      </c>
      <c r="E20" s="8">
        <v>3</v>
      </c>
      <c r="G20">
        <v>4</v>
      </c>
      <c r="H20">
        <v>4</v>
      </c>
      <c r="J20">
        <v>5</v>
      </c>
      <c r="K20">
        <v>5</v>
      </c>
    </row>
    <row r="21" spans="1:22" ht="16">
      <c r="A21" s="8">
        <v>5</v>
      </c>
      <c r="B21" s="8">
        <v>5</v>
      </c>
      <c r="D21" s="8">
        <v>5</v>
      </c>
      <c r="E21" s="8">
        <v>3</v>
      </c>
      <c r="G21">
        <v>4</v>
      </c>
      <c r="H21">
        <v>4</v>
      </c>
      <c r="J21">
        <v>5</v>
      </c>
      <c r="K21">
        <v>5</v>
      </c>
      <c r="N21" s="35"/>
      <c r="O21" s="35" t="s">
        <v>485</v>
      </c>
      <c r="P21" s="35" t="s">
        <v>486</v>
      </c>
      <c r="T21" s="35"/>
      <c r="U21" s="35" t="s">
        <v>485</v>
      </c>
      <c r="V21" s="35" t="s">
        <v>486</v>
      </c>
    </row>
    <row r="22" spans="1:22" ht="16">
      <c r="A22" s="8">
        <v>5</v>
      </c>
      <c r="B22" s="8">
        <v>5</v>
      </c>
      <c r="D22" s="8">
        <v>5</v>
      </c>
      <c r="E22" s="8">
        <v>4</v>
      </c>
      <c r="G22">
        <v>4</v>
      </c>
      <c r="H22">
        <v>4</v>
      </c>
      <c r="J22">
        <v>5</v>
      </c>
      <c r="K22">
        <v>5</v>
      </c>
      <c r="N22" t="s">
        <v>487</v>
      </c>
      <c r="O22">
        <v>4.375</v>
      </c>
      <c r="P22">
        <v>3.9249999999999998</v>
      </c>
      <c r="T22" t="s">
        <v>487</v>
      </c>
      <c r="U22">
        <v>4.6500000000000004</v>
      </c>
      <c r="V22">
        <v>4.4249999999999998</v>
      </c>
    </row>
    <row r="23" spans="1:22" ht="16">
      <c r="A23" s="8">
        <v>3</v>
      </c>
      <c r="B23" s="8">
        <v>2</v>
      </c>
      <c r="D23" s="8">
        <v>1</v>
      </c>
      <c r="E23" s="8">
        <v>4</v>
      </c>
      <c r="G23">
        <v>4</v>
      </c>
      <c r="H23">
        <v>4</v>
      </c>
      <c r="J23">
        <v>5</v>
      </c>
      <c r="K23">
        <v>5</v>
      </c>
      <c r="N23" t="s">
        <v>488</v>
      </c>
      <c r="O23">
        <v>1.2147435897435896</v>
      </c>
      <c r="P23">
        <v>1.7121794871794866</v>
      </c>
      <c r="T23" t="s">
        <v>488</v>
      </c>
      <c r="U23">
        <v>0.6948717948717954</v>
      </c>
      <c r="V23">
        <v>0.96858974358974304</v>
      </c>
    </row>
    <row r="24" spans="1:22" ht="16">
      <c r="A24" s="8">
        <v>1</v>
      </c>
      <c r="B24" s="8">
        <v>2</v>
      </c>
      <c r="D24" s="8">
        <v>1</v>
      </c>
      <c r="E24" s="8">
        <v>5</v>
      </c>
      <c r="G24">
        <v>1</v>
      </c>
      <c r="H24">
        <v>4</v>
      </c>
      <c r="J24">
        <v>1</v>
      </c>
      <c r="K24">
        <v>4</v>
      </c>
      <c r="N24" t="s">
        <v>489</v>
      </c>
      <c r="O24">
        <v>40</v>
      </c>
      <c r="P24">
        <v>40</v>
      </c>
      <c r="T24" t="s">
        <v>489</v>
      </c>
      <c r="U24">
        <v>40</v>
      </c>
      <c r="V24">
        <v>40</v>
      </c>
    </row>
    <row r="25" spans="1:22" ht="16">
      <c r="A25" s="8">
        <v>5</v>
      </c>
      <c r="B25" s="8">
        <v>2</v>
      </c>
      <c r="D25" s="8">
        <v>5</v>
      </c>
      <c r="E25" s="8">
        <v>5</v>
      </c>
      <c r="G25">
        <v>5</v>
      </c>
      <c r="H25">
        <v>2</v>
      </c>
      <c r="J25">
        <v>5</v>
      </c>
      <c r="K25">
        <v>3</v>
      </c>
      <c r="N25" t="s">
        <v>490</v>
      </c>
      <c r="O25">
        <v>0</v>
      </c>
      <c r="T25" t="s">
        <v>490</v>
      </c>
      <c r="U25">
        <v>0</v>
      </c>
    </row>
    <row r="26" spans="1:22" ht="16">
      <c r="A26" s="8">
        <v>5</v>
      </c>
      <c r="B26" s="8">
        <v>2</v>
      </c>
      <c r="D26" s="8">
        <v>4</v>
      </c>
      <c r="E26" s="8">
        <v>5</v>
      </c>
      <c r="G26">
        <v>3</v>
      </c>
      <c r="H26">
        <v>5</v>
      </c>
      <c r="J26">
        <v>2</v>
      </c>
      <c r="K26">
        <v>5</v>
      </c>
      <c r="N26" t="s">
        <v>491</v>
      </c>
      <c r="O26">
        <v>76</v>
      </c>
      <c r="T26" t="s">
        <v>491</v>
      </c>
      <c r="U26">
        <v>76</v>
      </c>
    </row>
    <row r="27" spans="1:22" ht="16">
      <c r="A27" s="8">
        <v>5</v>
      </c>
      <c r="B27" s="8">
        <v>5</v>
      </c>
      <c r="D27" s="8">
        <v>5</v>
      </c>
      <c r="E27" s="8">
        <v>5</v>
      </c>
      <c r="G27">
        <v>4</v>
      </c>
      <c r="H27">
        <v>5</v>
      </c>
      <c r="J27">
        <v>4</v>
      </c>
      <c r="K27">
        <v>5</v>
      </c>
      <c r="N27" t="s">
        <v>492</v>
      </c>
      <c r="O27">
        <v>1.6635538166587354</v>
      </c>
      <c r="T27" t="s">
        <v>492</v>
      </c>
      <c r="U27">
        <v>1.1033317907422198</v>
      </c>
    </row>
    <row r="28" spans="1:22" ht="16">
      <c r="A28" s="8">
        <v>5</v>
      </c>
      <c r="B28" s="8">
        <v>2</v>
      </c>
      <c r="D28" s="8">
        <v>5</v>
      </c>
      <c r="E28" s="8">
        <v>5</v>
      </c>
      <c r="G28">
        <v>5</v>
      </c>
      <c r="H28">
        <v>5</v>
      </c>
      <c r="J28">
        <v>5</v>
      </c>
      <c r="K28">
        <v>5</v>
      </c>
      <c r="N28" t="s">
        <v>493</v>
      </c>
      <c r="O28">
        <v>5.0160084187944626E-2</v>
      </c>
      <c r="T28" t="s">
        <v>493</v>
      </c>
      <c r="U28">
        <v>0.13668223559417936</v>
      </c>
    </row>
    <row r="29" spans="1:22" ht="16">
      <c r="A29" s="8">
        <v>5</v>
      </c>
      <c r="B29" s="8">
        <v>3</v>
      </c>
      <c r="D29" s="8">
        <v>5</v>
      </c>
      <c r="E29" s="8">
        <v>5</v>
      </c>
      <c r="G29">
        <v>5</v>
      </c>
      <c r="H29">
        <v>4</v>
      </c>
      <c r="J29">
        <v>4</v>
      </c>
      <c r="K29">
        <v>5</v>
      </c>
      <c r="N29" t="s">
        <v>494</v>
      </c>
      <c r="O29">
        <v>1.6651513534046942</v>
      </c>
      <c r="T29" t="s">
        <v>494</v>
      </c>
      <c r="U29">
        <v>1.6651513534046942</v>
      </c>
    </row>
    <row r="30" spans="1:22" ht="16">
      <c r="A30" s="8">
        <v>5</v>
      </c>
      <c r="B30" s="8">
        <v>3</v>
      </c>
      <c r="D30" s="8">
        <v>5</v>
      </c>
      <c r="E30" s="8">
        <v>5</v>
      </c>
      <c r="G30">
        <v>5</v>
      </c>
      <c r="H30">
        <v>4</v>
      </c>
      <c r="J30">
        <v>5</v>
      </c>
      <c r="K30">
        <v>5</v>
      </c>
      <c r="N30" t="s">
        <v>495</v>
      </c>
      <c r="O30">
        <v>0.10032016837588925</v>
      </c>
      <c r="T30" t="s">
        <v>495</v>
      </c>
      <c r="U30">
        <v>0.27336447118835872</v>
      </c>
    </row>
    <row r="31" spans="1:22" ht="16.5" thickBot="1">
      <c r="A31" s="8">
        <v>5</v>
      </c>
      <c r="B31" s="8">
        <v>5</v>
      </c>
      <c r="D31" s="8">
        <v>4</v>
      </c>
      <c r="E31" s="8">
        <v>5</v>
      </c>
      <c r="G31">
        <v>5</v>
      </c>
      <c r="H31">
        <v>4</v>
      </c>
      <c r="J31">
        <v>5</v>
      </c>
      <c r="K31">
        <v>5</v>
      </c>
      <c r="N31" s="34" t="s">
        <v>496</v>
      </c>
      <c r="O31" s="34">
        <v>1.991672609644662</v>
      </c>
      <c r="P31" s="34"/>
      <c r="T31" s="34" t="s">
        <v>496</v>
      </c>
      <c r="U31" s="34">
        <v>1.991672609644662</v>
      </c>
      <c r="V31" s="34"/>
    </row>
    <row r="32" spans="1:22" ht="16">
      <c r="A32" s="8">
        <v>5</v>
      </c>
      <c r="B32" s="8">
        <v>2</v>
      </c>
      <c r="D32" s="8">
        <v>5</v>
      </c>
      <c r="E32" s="8">
        <v>5</v>
      </c>
      <c r="G32">
        <v>4</v>
      </c>
      <c r="H32">
        <v>2</v>
      </c>
      <c r="J32">
        <v>5</v>
      </c>
      <c r="K32">
        <v>3</v>
      </c>
    </row>
    <row r="33" spans="1:11" ht="16">
      <c r="A33" s="8">
        <v>5</v>
      </c>
      <c r="B33" s="8">
        <v>5</v>
      </c>
      <c r="D33" s="8">
        <v>4</v>
      </c>
      <c r="E33" s="8">
        <v>5</v>
      </c>
      <c r="G33">
        <v>4</v>
      </c>
      <c r="H33">
        <v>4</v>
      </c>
      <c r="J33">
        <v>4</v>
      </c>
      <c r="K33">
        <v>5</v>
      </c>
    </row>
    <row r="34" spans="1:11" ht="16">
      <c r="A34" s="8">
        <v>5</v>
      </c>
      <c r="B34" s="8">
        <v>5</v>
      </c>
      <c r="D34" s="8">
        <v>3</v>
      </c>
      <c r="E34" s="8">
        <v>5</v>
      </c>
      <c r="G34">
        <v>4</v>
      </c>
      <c r="H34">
        <v>4</v>
      </c>
      <c r="J34">
        <v>5</v>
      </c>
      <c r="K34">
        <v>5</v>
      </c>
    </row>
    <row r="35" spans="1:11" ht="16">
      <c r="A35" s="8">
        <v>5</v>
      </c>
      <c r="B35" s="8">
        <v>5</v>
      </c>
      <c r="D35" s="8">
        <v>3</v>
      </c>
      <c r="E35" s="8">
        <v>4</v>
      </c>
      <c r="G35">
        <v>4</v>
      </c>
      <c r="H35">
        <v>4</v>
      </c>
      <c r="J35">
        <v>5</v>
      </c>
      <c r="K35">
        <v>5</v>
      </c>
    </row>
    <row r="36" spans="1:11" ht="16">
      <c r="A36" s="8">
        <v>5</v>
      </c>
      <c r="B36" s="8">
        <v>5</v>
      </c>
      <c r="D36" s="8">
        <v>5</v>
      </c>
      <c r="E36" s="8">
        <v>5</v>
      </c>
      <c r="G36">
        <v>4</v>
      </c>
      <c r="H36">
        <v>4</v>
      </c>
      <c r="J36">
        <v>5</v>
      </c>
      <c r="K36">
        <v>5</v>
      </c>
    </row>
    <row r="37" spans="1:11" ht="16">
      <c r="A37" s="8">
        <v>5</v>
      </c>
      <c r="B37" s="8">
        <v>4</v>
      </c>
      <c r="D37" s="8">
        <v>5</v>
      </c>
      <c r="E37" s="8">
        <v>3</v>
      </c>
      <c r="G37">
        <v>4</v>
      </c>
      <c r="H37">
        <v>4</v>
      </c>
      <c r="J37">
        <v>5</v>
      </c>
      <c r="K37">
        <v>5</v>
      </c>
    </row>
    <row r="38" spans="1:11" ht="16">
      <c r="A38" s="8">
        <v>5</v>
      </c>
      <c r="B38" s="8">
        <v>5</v>
      </c>
      <c r="D38" s="8">
        <v>5</v>
      </c>
      <c r="E38" s="8">
        <v>5</v>
      </c>
      <c r="G38">
        <v>4</v>
      </c>
      <c r="H38">
        <v>4</v>
      </c>
      <c r="J38">
        <v>4</v>
      </c>
      <c r="K38">
        <v>5</v>
      </c>
    </row>
    <row r="39" spans="1:11" ht="16">
      <c r="A39" s="8">
        <v>5</v>
      </c>
      <c r="B39" s="26">
        <v>1</v>
      </c>
      <c r="D39" s="8">
        <v>5</v>
      </c>
      <c r="E39" s="26">
        <v>1</v>
      </c>
      <c r="G39">
        <v>4</v>
      </c>
      <c r="H39">
        <v>1</v>
      </c>
      <c r="J39">
        <v>4</v>
      </c>
      <c r="K39">
        <v>1</v>
      </c>
    </row>
    <row r="40" spans="1:11" ht="16">
      <c r="A40" s="8">
        <v>4</v>
      </c>
      <c r="B40" s="26">
        <v>1</v>
      </c>
      <c r="D40" s="8">
        <v>5</v>
      </c>
      <c r="E40" s="26">
        <v>1</v>
      </c>
      <c r="G40">
        <v>4</v>
      </c>
      <c r="H40">
        <v>1</v>
      </c>
      <c r="J40">
        <v>5</v>
      </c>
      <c r="K40">
        <v>1</v>
      </c>
    </row>
    <row r="41" spans="1:11" ht="16">
      <c r="A41" s="8">
        <v>4</v>
      </c>
      <c r="B41" s="8">
        <v>3</v>
      </c>
      <c r="D41" s="8">
        <v>5</v>
      </c>
      <c r="E41" s="8">
        <v>5</v>
      </c>
      <c r="G41">
        <v>4</v>
      </c>
      <c r="H41">
        <v>4</v>
      </c>
      <c r="J41">
        <v>5</v>
      </c>
      <c r="K41">
        <v>4</v>
      </c>
    </row>
    <row r="42" spans="1:11" ht="16">
      <c r="A42" s="8">
        <v>5</v>
      </c>
      <c r="B42" s="8">
        <v>3</v>
      </c>
      <c r="D42" s="8">
        <v>5</v>
      </c>
      <c r="E42" s="8">
        <v>5</v>
      </c>
      <c r="G42">
        <v>4</v>
      </c>
      <c r="H42">
        <v>4</v>
      </c>
      <c r="J42">
        <v>5</v>
      </c>
      <c r="K42">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9B382-F900-43EC-8053-D37E28B156B9}">
  <dimension ref="A1:L81"/>
  <sheetViews>
    <sheetView zoomScale="75" workbookViewId="0">
      <selection activeCell="G20" sqref="G20"/>
    </sheetView>
  </sheetViews>
  <sheetFormatPr defaultRowHeight="14.5"/>
  <cols>
    <col min="2" max="2" width="11.453125" customWidth="1"/>
    <col min="3" max="3" width="14.7265625" customWidth="1"/>
    <col min="7" max="7" width="13.6328125" customWidth="1"/>
    <col min="8" max="8" width="17" customWidth="1"/>
    <col min="10" max="10" width="26.453125" customWidth="1"/>
  </cols>
  <sheetData>
    <row r="1" spans="1:12" ht="43.5">
      <c r="A1" s="1" t="s">
        <v>219</v>
      </c>
      <c r="B1" s="31" t="s">
        <v>139</v>
      </c>
      <c r="C1" s="20" t="s">
        <v>473</v>
      </c>
      <c r="F1" s="1" t="s">
        <v>219</v>
      </c>
      <c r="G1" s="31" t="s">
        <v>140</v>
      </c>
      <c r="H1" s="20" t="s">
        <v>475</v>
      </c>
      <c r="J1" s="1" t="s">
        <v>507</v>
      </c>
      <c r="K1" t="s">
        <v>504</v>
      </c>
      <c r="L1" t="s">
        <v>505</v>
      </c>
    </row>
    <row r="2" spans="1:12" ht="16">
      <c r="A2" s="32">
        <v>9831</v>
      </c>
      <c r="B2" s="8">
        <v>5</v>
      </c>
      <c r="C2">
        <v>5</v>
      </c>
      <c r="F2" s="32">
        <v>9831</v>
      </c>
      <c r="G2" s="8">
        <v>4</v>
      </c>
      <c r="H2">
        <v>5</v>
      </c>
      <c r="J2" t="s">
        <v>502</v>
      </c>
    </row>
    <row r="3" spans="1:12" ht="16.5" thickBot="1">
      <c r="A3" s="26">
        <v>255</v>
      </c>
      <c r="B3" s="8">
        <v>5</v>
      </c>
      <c r="C3">
        <v>4</v>
      </c>
      <c r="F3" s="26">
        <v>255</v>
      </c>
      <c r="G3" s="8">
        <v>2</v>
      </c>
      <c r="H3">
        <v>4</v>
      </c>
    </row>
    <row r="4" spans="1:12" ht="16">
      <c r="A4" s="26">
        <v>930</v>
      </c>
      <c r="B4" s="8">
        <v>5</v>
      </c>
      <c r="C4">
        <v>5</v>
      </c>
      <c r="F4" s="26">
        <v>930</v>
      </c>
      <c r="G4" s="8">
        <v>5</v>
      </c>
      <c r="H4">
        <v>5</v>
      </c>
      <c r="J4" s="35"/>
      <c r="K4" s="35" t="s">
        <v>485</v>
      </c>
      <c r="L4" s="35" t="s">
        <v>486</v>
      </c>
    </row>
    <row r="5" spans="1:12" ht="16">
      <c r="A5" s="26">
        <v>765</v>
      </c>
      <c r="B5" s="8">
        <v>5</v>
      </c>
      <c r="C5">
        <v>4</v>
      </c>
      <c r="F5" s="26">
        <v>765</v>
      </c>
      <c r="G5" s="8">
        <v>5</v>
      </c>
      <c r="H5">
        <v>5</v>
      </c>
      <c r="J5" t="s">
        <v>487</v>
      </c>
      <c r="K5">
        <v>4.3250000000000002</v>
      </c>
      <c r="L5">
        <v>3.95</v>
      </c>
    </row>
    <row r="6" spans="1:12" ht="16">
      <c r="A6" s="26">
        <v>968</v>
      </c>
      <c r="B6" s="8">
        <v>5</v>
      </c>
      <c r="C6">
        <v>5</v>
      </c>
      <c r="F6" s="26">
        <v>968</v>
      </c>
      <c r="G6" s="8">
        <v>5</v>
      </c>
      <c r="H6">
        <v>5</v>
      </c>
      <c r="J6" t="s">
        <v>488</v>
      </c>
      <c r="K6">
        <v>1.4373417721518982</v>
      </c>
      <c r="L6">
        <v>0.68101265822784751</v>
      </c>
    </row>
    <row r="7" spans="1:12" ht="16">
      <c r="A7" s="26">
        <v>643</v>
      </c>
      <c r="B7" s="8">
        <v>5</v>
      </c>
      <c r="C7">
        <v>4</v>
      </c>
      <c r="F7" s="26">
        <v>643</v>
      </c>
      <c r="G7" s="8">
        <v>5</v>
      </c>
      <c r="H7">
        <v>4</v>
      </c>
      <c r="J7" t="s">
        <v>489</v>
      </c>
      <c r="K7">
        <v>80</v>
      </c>
      <c r="L7">
        <v>80</v>
      </c>
    </row>
    <row r="8" spans="1:12" ht="16">
      <c r="A8" s="26">
        <v>750</v>
      </c>
      <c r="B8" s="8">
        <v>5</v>
      </c>
      <c r="C8">
        <v>4</v>
      </c>
      <c r="F8" s="26">
        <v>750</v>
      </c>
      <c r="G8" s="8">
        <v>3</v>
      </c>
      <c r="H8">
        <v>5</v>
      </c>
      <c r="J8" t="s">
        <v>503</v>
      </c>
      <c r="K8">
        <v>0.52840308504138978</v>
      </c>
    </row>
    <row r="9" spans="1:12" ht="16">
      <c r="A9" s="26">
        <v>856</v>
      </c>
      <c r="B9" s="8">
        <v>5</v>
      </c>
      <c r="C9">
        <v>5</v>
      </c>
      <c r="F9" s="26">
        <v>856</v>
      </c>
      <c r="G9" s="8">
        <v>5</v>
      </c>
      <c r="H9">
        <v>5</v>
      </c>
      <c r="J9" t="s">
        <v>490</v>
      </c>
      <c r="K9">
        <v>0</v>
      </c>
    </row>
    <row r="10" spans="1:12" ht="16">
      <c r="A10" s="32">
        <v>8991</v>
      </c>
      <c r="B10" s="8">
        <v>5</v>
      </c>
      <c r="C10">
        <v>5</v>
      </c>
      <c r="F10" s="32">
        <v>8991</v>
      </c>
      <c r="G10" s="8">
        <v>4</v>
      </c>
      <c r="H10">
        <v>5</v>
      </c>
      <c r="J10" t="s">
        <v>491</v>
      </c>
      <c r="K10">
        <v>79</v>
      </c>
    </row>
    <row r="11" spans="1:12" ht="16">
      <c r="A11" s="32">
        <v>3041</v>
      </c>
      <c r="B11" s="8">
        <v>5</v>
      </c>
      <c r="C11">
        <v>4</v>
      </c>
      <c r="F11" s="32">
        <v>3041</v>
      </c>
      <c r="G11" s="8">
        <v>3</v>
      </c>
      <c r="H11">
        <v>5</v>
      </c>
      <c r="J11" t="s">
        <v>492</v>
      </c>
      <c r="K11">
        <v>3.2383214268686817</v>
      </c>
    </row>
    <row r="12" spans="1:12" ht="16">
      <c r="A12" s="26">
        <v>197</v>
      </c>
      <c r="B12" s="8">
        <v>5</v>
      </c>
      <c r="C12">
        <v>4</v>
      </c>
      <c r="F12" s="26">
        <v>197</v>
      </c>
      <c r="G12" s="8">
        <v>5</v>
      </c>
      <c r="H12">
        <v>5</v>
      </c>
      <c r="J12" t="s">
        <v>493</v>
      </c>
      <c r="K12">
        <v>8.7957337531655998E-4</v>
      </c>
    </row>
    <row r="13" spans="1:12" ht="16">
      <c r="A13" s="26">
        <v>561</v>
      </c>
      <c r="B13" s="8">
        <v>5</v>
      </c>
      <c r="C13">
        <v>4</v>
      </c>
      <c r="F13" s="26">
        <v>561</v>
      </c>
      <c r="G13" s="8">
        <v>5</v>
      </c>
      <c r="H13">
        <v>5</v>
      </c>
      <c r="J13" t="s">
        <v>494</v>
      </c>
      <c r="K13">
        <v>1.6643714091365507</v>
      </c>
    </row>
    <row r="14" spans="1:12" ht="16">
      <c r="A14" s="26">
        <v>34</v>
      </c>
      <c r="B14" s="8">
        <v>5</v>
      </c>
      <c r="C14">
        <v>4</v>
      </c>
      <c r="F14" s="26">
        <v>34</v>
      </c>
      <c r="G14" s="8">
        <v>5</v>
      </c>
      <c r="H14">
        <v>5</v>
      </c>
      <c r="J14" t="s">
        <v>495</v>
      </c>
      <c r="K14">
        <v>1.75914675063312E-3</v>
      </c>
    </row>
    <row r="15" spans="1:12" ht="16.5" thickBot="1">
      <c r="A15" s="26">
        <v>6</v>
      </c>
      <c r="B15" s="8">
        <v>5</v>
      </c>
      <c r="C15">
        <v>4</v>
      </c>
      <c r="F15" s="26">
        <v>6</v>
      </c>
      <c r="G15" s="8">
        <v>5</v>
      </c>
      <c r="H15">
        <v>5</v>
      </c>
      <c r="J15" s="34" t="s">
        <v>496</v>
      </c>
      <c r="K15" s="34">
        <v>1.9904502102301287</v>
      </c>
      <c r="L15" s="34"/>
    </row>
    <row r="16" spans="1:12" ht="16">
      <c r="A16" s="26">
        <v>607</v>
      </c>
      <c r="B16" s="8">
        <v>5</v>
      </c>
      <c r="C16">
        <v>4</v>
      </c>
      <c r="F16" s="26">
        <v>607</v>
      </c>
      <c r="G16" s="8">
        <v>5</v>
      </c>
      <c r="H16">
        <v>5</v>
      </c>
    </row>
    <row r="17" spans="1:12" ht="16">
      <c r="A17" s="26">
        <v>739</v>
      </c>
      <c r="B17" s="8">
        <v>5</v>
      </c>
      <c r="C17">
        <v>4</v>
      </c>
      <c r="F17" s="26">
        <v>739</v>
      </c>
      <c r="G17" s="8">
        <v>5</v>
      </c>
      <c r="H17">
        <v>5</v>
      </c>
      <c r="J17" s="1" t="s">
        <v>506</v>
      </c>
      <c r="K17" t="s">
        <v>504</v>
      </c>
      <c r="L17" t="s">
        <v>505</v>
      </c>
    </row>
    <row r="18" spans="1:12" ht="16">
      <c r="A18" s="26">
        <v>477</v>
      </c>
      <c r="B18" s="8">
        <v>5</v>
      </c>
      <c r="C18">
        <v>4</v>
      </c>
      <c r="F18" s="26">
        <v>477</v>
      </c>
      <c r="G18" s="8">
        <v>4</v>
      </c>
      <c r="H18">
        <v>5</v>
      </c>
      <c r="J18" t="s">
        <v>502</v>
      </c>
    </row>
    <row r="19" spans="1:12" ht="16.5" thickBot="1">
      <c r="A19" s="26">
        <v>649</v>
      </c>
      <c r="B19" s="8">
        <v>5</v>
      </c>
      <c r="C19">
        <v>4</v>
      </c>
      <c r="F19" s="26">
        <v>649</v>
      </c>
      <c r="G19" s="8">
        <v>5</v>
      </c>
      <c r="H19">
        <v>5</v>
      </c>
    </row>
    <row r="20" spans="1:12" ht="16">
      <c r="A20" s="26">
        <v>64</v>
      </c>
      <c r="B20" s="8">
        <v>5</v>
      </c>
      <c r="C20">
        <v>4</v>
      </c>
      <c r="F20" s="26">
        <v>64</v>
      </c>
      <c r="G20" s="8">
        <v>5</v>
      </c>
      <c r="H20">
        <v>5</v>
      </c>
      <c r="J20" s="35"/>
      <c r="K20" s="35" t="s">
        <v>485</v>
      </c>
      <c r="L20" s="35" t="s">
        <v>486</v>
      </c>
    </row>
    <row r="21" spans="1:12" ht="16">
      <c r="A21" s="26">
        <v>773</v>
      </c>
      <c r="B21" s="8">
        <v>5</v>
      </c>
      <c r="C21">
        <v>4</v>
      </c>
      <c r="F21" s="26">
        <v>773</v>
      </c>
      <c r="G21" s="8">
        <v>5</v>
      </c>
      <c r="H21">
        <v>5</v>
      </c>
      <c r="J21" t="s">
        <v>487</v>
      </c>
      <c r="K21">
        <v>4.1500000000000004</v>
      </c>
      <c r="L21">
        <v>4.5374999999999996</v>
      </c>
    </row>
    <row r="22" spans="1:12" ht="16">
      <c r="A22" s="26">
        <v>216</v>
      </c>
      <c r="B22" s="8">
        <v>3</v>
      </c>
      <c r="C22">
        <v>4</v>
      </c>
      <c r="F22" s="26">
        <v>216</v>
      </c>
      <c r="G22" s="8">
        <v>1</v>
      </c>
      <c r="H22">
        <v>5</v>
      </c>
      <c r="J22" t="s">
        <v>488</v>
      </c>
      <c r="K22">
        <v>1.4962025316455703</v>
      </c>
      <c r="L22">
        <v>0.83401898734177271</v>
      </c>
    </row>
    <row r="23" spans="1:12" ht="16">
      <c r="A23" s="26">
        <v>140</v>
      </c>
      <c r="B23" s="8">
        <v>1</v>
      </c>
      <c r="C23">
        <v>1</v>
      </c>
      <c r="F23" s="26">
        <v>140</v>
      </c>
      <c r="G23" s="8">
        <v>1</v>
      </c>
      <c r="H23">
        <v>1</v>
      </c>
      <c r="J23" t="s">
        <v>489</v>
      </c>
      <c r="K23">
        <v>80</v>
      </c>
      <c r="L23">
        <v>80</v>
      </c>
    </row>
    <row r="24" spans="1:12" ht="16">
      <c r="A24" s="26">
        <v>395</v>
      </c>
      <c r="B24" s="8">
        <v>5</v>
      </c>
      <c r="C24">
        <v>5</v>
      </c>
      <c r="F24" s="26">
        <v>395</v>
      </c>
      <c r="G24" s="8">
        <v>5</v>
      </c>
      <c r="H24">
        <v>5</v>
      </c>
      <c r="J24" t="s">
        <v>503</v>
      </c>
      <c r="K24">
        <v>0.44816324384192535</v>
      </c>
    </row>
    <row r="25" spans="1:12" ht="16">
      <c r="A25" s="26">
        <v>740</v>
      </c>
      <c r="B25" s="8">
        <v>5</v>
      </c>
      <c r="C25">
        <v>3</v>
      </c>
      <c r="F25" s="26">
        <v>740</v>
      </c>
      <c r="G25" s="8">
        <v>4</v>
      </c>
      <c r="H25">
        <v>2</v>
      </c>
      <c r="J25" t="s">
        <v>490</v>
      </c>
      <c r="K25">
        <v>0</v>
      </c>
    </row>
    <row r="26" spans="1:12" ht="16">
      <c r="A26" s="26">
        <v>231</v>
      </c>
      <c r="B26" s="8">
        <v>5</v>
      </c>
      <c r="C26">
        <v>4</v>
      </c>
      <c r="F26" s="26">
        <v>231</v>
      </c>
      <c r="G26" s="8">
        <v>5</v>
      </c>
      <c r="H26">
        <v>4</v>
      </c>
      <c r="J26" t="s">
        <v>491</v>
      </c>
      <c r="K26">
        <v>79</v>
      </c>
    </row>
    <row r="27" spans="1:12" ht="16">
      <c r="A27" s="26">
        <v>346</v>
      </c>
      <c r="B27" s="8">
        <v>5</v>
      </c>
      <c r="C27">
        <v>5</v>
      </c>
      <c r="F27" s="26">
        <v>346</v>
      </c>
      <c r="G27" s="8">
        <v>5</v>
      </c>
      <c r="H27">
        <v>5</v>
      </c>
      <c r="J27" t="s">
        <v>492</v>
      </c>
      <c r="K27">
        <v>-3.0065016660775621</v>
      </c>
    </row>
    <row r="28" spans="1:12" ht="16">
      <c r="A28" s="26">
        <v>343</v>
      </c>
      <c r="B28" s="8">
        <v>5</v>
      </c>
      <c r="C28">
        <v>5</v>
      </c>
      <c r="F28" s="26">
        <v>343</v>
      </c>
      <c r="G28" s="8">
        <v>5</v>
      </c>
      <c r="H28">
        <v>4</v>
      </c>
      <c r="J28" t="s">
        <v>493</v>
      </c>
      <c r="K28">
        <v>1.771079953460394E-3</v>
      </c>
    </row>
    <row r="29" spans="1:12" ht="16">
      <c r="A29" s="26">
        <v>315</v>
      </c>
      <c r="B29" s="8">
        <v>5</v>
      </c>
      <c r="C29">
        <v>5</v>
      </c>
      <c r="F29" s="26">
        <v>315</v>
      </c>
      <c r="G29" s="8">
        <v>5</v>
      </c>
      <c r="H29">
        <v>5</v>
      </c>
      <c r="J29" t="s">
        <v>494</v>
      </c>
      <c r="K29">
        <v>1.6643714091365507</v>
      </c>
    </row>
    <row r="30" spans="1:12" ht="16">
      <c r="A30" s="26">
        <v>838</v>
      </c>
      <c r="B30" s="8">
        <v>5</v>
      </c>
      <c r="C30">
        <v>5</v>
      </c>
      <c r="F30" s="26">
        <v>838</v>
      </c>
      <c r="G30" s="8">
        <v>4</v>
      </c>
      <c r="H30">
        <v>5</v>
      </c>
      <c r="J30" t="s">
        <v>495</v>
      </c>
      <c r="K30">
        <v>3.5421599069207881E-3</v>
      </c>
    </row>
    <row r="31" spans="1:12" ht="16.5" thickBot="1">
      <c r="A31" s="26">
        <v>400</v>
      </c>
      <c r="B31" s="8">
        <v>5</v>
      </c>
      <c r="C31">
        <v>4</v>
      </c>
      <c r="F31" s="26">
        <v>400</v>
      </c>
      <c r="G31" s="8">
        <v>5</v>
      </c>
      <c r="H31">
        <v>5</v>
      </c>
      <c r="J31" s="34" t="s">
        <v>496</v>
      </c>
      <c r="K31" s="34">
        <v>1.9904502102301287</v>
      </c>
      <c r="L31" s="34"/>
    </row>
    <row r="32" spans="1:12" ht="16">
      <c r="A32" s="26">
        <v>70</v>
      </c>
      <c r="B32" s="8">
        <v>5</v>
      </c>
      <c r="C32">
        <v>4</v>
      </c>
      <c r="F32" s="26">
        <v>70</v>
      </c>
      <c r="G32" s="8">
        <v>4</v>
      </c>
      <c r="H32">
        <v>4</v>
      </c>
    </row>
    <row r="33" spans="1:8" ht="16">
      <c r="A33" s="26">
        <v>29</v>
      </c>
      <c r="B33" s="8">
        <v>5</v>
      </c>
      <c r="C33">
        <v>4</v>
      </c>
      <c r="F33" s="26">
        <v>29</v>
      </c>
      <c r="G33" s="8">
        <v>3</v>
      </c>
      <c r="H33">
        <v>5</v>
      </c>
    </row>
    <row r="34" spans="1:8" ht="16">
      <c r="A34" s="26">
        <v>540</v>
      </c>
      <c r="B34" s="8">
        <v>5</v>
      </c>
      <c r="C34">
        <v>4</v>
      </c>
      <c r="F34" s="26">
        <v>540</v>
      </c>
      <c r="G34" s="8">
        <v>3</v>
      </c>
      <c r="H34">
        <v>5</v>
      </c>
    </row>
    <row r="35" spans="1:8" ht="16">
      <c r="A35" s="26">
        <v>386</v>
      </c>
      <c r="B35" s="8">
        <v>5</v>
      </c>
      <c r="C35">
        <v>4</v>
      </c>
      <c r="F35" s="26">
        <v>386</v>
      </c>
      <c r="G35" s="8">
        <v>5</v>
      </c>
      <c r="H35">
        <v>5</v>
      </c>
    </row>
    <row r="36" spans="1:8" ht="16">
      <c r="A36" s="26">
        <v>284</v>
      </c>
      <c r="B36" s="8">
        <v>5</v>
      </c>
      <c r="C36">
        <v>4</v>
      </c>
      <c r="F36" s="26">
        <v>284</v>
      </c>
      <c r="G36" s="8">
        <v>5</v>
      </c>
      <c r="H36">
        <v>5</v>
      </c>
    </row>
    <row r="37" spans="1:8" ht="16">
      <c r="A37" s="26">
        <v>190</v>
      </c>
      <c r="B37" s="8">
        <v>5</v>
      </c>
      <c r="C37">
        <v>4</v>
      </c>
      <c r="F37" s="26">
        <v>190</v>
      </c>
      <c r="G37" s="8">
        <v>5</v>
      </c>
      <c r="H37">
        <v>4</v>
      </c>
    </row>
    <row r="38" spans="1:8" ht="16">
      <c r="A38" s="26">
        <v>462</v>
      </c>
      <c r="B38" s="8">
        <v>5</v>
      </c>
      <c r="C38">
        <v>4</v>
      </c>
      <c r="F38" s="26">
        <v>462</v>
      </c>
      <c r="G38" s="8">
        <v>5</v>
      </c>
      <c r="H38">
        <v>4</v>
      </c>
    </row>
    <row r="39" spans="1:8" ht="16">
      <c r="A39" s="26">
        <v>655</v>
      </c>
      <c r="B39" s="8">
        <v>4</v>
      </c>
      <c r="C39">
        <v>4</v>
      </c>
      <c r="F39" s="26">
        <v>655</v>
      </c>
      <c r="G39" s="8">
        <v>5</v>
      </c>
      <c r="H39">
        <v>5</v>
      </c>
    </row>
    <row r="40" spans="1:8" ht="16">
      <c r="A40" s="26">
        <v>408</v>
      </c>
      <c r="B40" s="8">
        <v>4</v>
      </c>
      <c r="C40">
        <v>4</v>
      </c>
      <c r="F40" s="26">
        <v>408</v>
      </c>
      <c r="G40" s="8">
        <v>5</v>
      </c>
      <c r="H40">
        <v>5</v>
      </c>
    </row>
    <row r="41" spans="1:8" ht="16">
      <c r="A41" s="32">
        <v>3771</v>
      </c>
      <c r="B41" s="8">
        <v>5</v>
      </c>
      <c r="C41">
        <v>4</v>
      </c>
      <c r="F41" s="32">
        <v>3771</v>
      </c>
      <c r="G41" s="8">
        <v>5</v>
      </c>
      <c r="H41">
        <v>5</v>
      </c>
    </row>
    <row r="42" spans="1:8" ht="16">
      <c r="A42" s="26">
        <v>295</v>
      </c>
      <c r="B42" s="8">
        <v>5</v>
      </c>
      <c r="C42">
        <v>3</v>
      </c>
      <c r="F42" s="26">
        <v>295</v>
      </c>
      <c r="G42" s="8">
        <v>3</v>
      </c>
      <c r="H42">
        <v>4</v>
      </c>
    </row>
    <row r="43" spans="1:8" ht="16">
      <c r="A43" s="26">
        <v>450</v>
      </c>
      <c r="B43" s="8">
        <v>5</v>
      </c>
      <c r="C43">
        <v>4</v>
      </c>
      <c r="F43" s="26">
        <v>450</v>
      </c>
      <c r="G43" s="8">
        <v>2</v>
      </c>
      <c r="H43">
        <v>4</v>
      </c>
    </row>
    <row r="44" spans="1:8" ht="16">
      <c r="A44" s="26">
        <v>621</v>
      </c>
      <c r="B44" s="8">
        <v>5</v>
      </c>
      <c r="C44">
        <v>4</v>
      </c>
      <c r="F44" s="26">
        <v>621</v>
      </c>
      <c r="G44" s="8">
        <v>2</v>
      </c>
      <c r="H44">
        <v>4</v>
      </c>
    </row>
    <row r="45" spans="1:8" ht="16">
      <c r="A45" s="26">
        <v>366</v>
      </c>
      <c r="B45" s="8">
        <v>5</v>
      </c>
      <c r="C45">
        <v>4</v>
      </c>
      <c r="F45" s="26">
        <v>366</v>
      </c>
      <c r="G45" s="8">
        <v>5</v>
      </c>
      <c r="H45">
        <v>5</v>
      </c>
    </row>
    <row r="46" spans="1:8" ht="16">
      <c r="A46" s="26">
        <v>286</v>
      </c>
      <c r="B46" s="8">
        <v>5</v>
      </c>
      <c r="C46">
        <v>3</v>
      </c>
      <c r="F46" s="26">
        <v>286</v>
      </c>
      <c r="G46" s="8">
        <v>4</v>
      </c>
      <c r="H46">
        <v>4</v>
      </c>
    </row>
    <row r="47" spans="1:8" ht="16">
      <c r="A47" s="26">
        <v>520</v>
      </c>
      <c r="B47" s="8">
        <v>5</v>
      </c>
      <c r="C47">
        <v>4</v>
      </c>
      <c r="F47" s="26">
        <v>520</v>
      </c>
      <c r="G47" s="8">
        <v>5</v>
      </c>
      <c r="H47">
        <v>5</v>
      </c>
    </row>
    <row r="48" spans="1:8" ht="16">
      <c r="A48" s="26">
        <v>906</v>
      </c>
      <c r="B48" s="8">
        <v>5</v>
      </c>
      <c r="C48">
        <v>5</v>
      </c>
      <c r="F48" s="26">
        <v>906</v>
      </c>
      <c r="G48" s="8">
        <v>3</v>
      </c>
      <c r="H48">
        <v>5</v>
      </c>
    </row>
    <row r="49" spans="1:8" ht="16">
      <c r="A49" s="26">
        <v>396</v>
      </c>
      <c r="B49" s="8">
        <v>5</v>
      </c>
      <c r="C49">
        <v>4</v>
      </c>
      <c r="F49" s="26">
        <v>396</v>
      </c>
      <c r="G49" s="8">
        <v>5</v>
      </c>
      <c r="H49">
        <v>4</v>
      </c>
    </row>
    <row r="50" spans="1:8" ht="16">
      <c r="A50" s="26">
        <v>560</v>
      </c>
      <c r="B50" s="8">
        <v>5</v>
      </c>
      <c r="C50">
        <v>4</v>
      </c>
      <c r="F50" s="26">
        <v>560</v>
      </c>
      <c r="G50" s="8">
        <v>4</v>
      </c>
      <c r="H50">
        <v>5</v>
      </c>
    </row>
    <row r="51" spans="1:8" ht="16">
      <c r="A51" s="26">
        <v>571</v>
      </c>
      <c r="B51" s="8">
        <v>5</v>
      </c>
      <c r="C51">
        <v>3</v>
      </c>
      <c r="F51" s="26">
        <v>571</v>
      </c>
      <c r="G51" s="8">
        <v>5</v>
      </c>
      <c r="H51">
        <v>4</v>
      </c>
    </row>
    <row r="52" spans="1:8" ht="16">
      <c r="A52" s="26">
        <v>874</v>
      </c>
      <c r="B52" s="8">
        <v>5</v>
      </c>
      <c r="C52">
        <v>4</v>
      </c>
      <c r="F52" s="26">
        <v>874</v>
      </c>
      <c r="G52" s="8">
        <v>4</v>
      </c>
      <c r="H52">
        <v>5</v>
      </c>
    </row>
    <row r="53" spans="1:8" ht="16">
      <c r="A53" s="26">
        <v>947</v>
      </c>
      <c r="B53" s="8">
        <v>3</v>
      </c>
      <c r="C53">
        <v>4</v>
      </c>
      <c r="F53" s="26">
        <v>947</v>
      </c>
      <c r="G53" s="8">
        <v>3</v>
      </c>
      <c r="H53">
        <v>5</v>
      </c>
    </row>
    <row r="54" spans="1:8" ht="16">
      <c r="A54" s="26">
        <v>907</v>
      </c>
      <c r="B54" s="8">
        <v>3</v>
      </c>
      <c r="C54">
        <v>4</v>
      </c>
      <c r="F54" s="26">
        <v>907</v>
      </c>
      <c r="G54" s="8">
        <v>5</v>
      </c>
      <c r="H54">
        <v>5</v>
      </c>
    </row>
    <row r="55" spans="1:8" ht="16">
      <c r="A55" s="26">
        <v>895</v>
      </c>
      <c r="B55" s="8">
        <v>5</v>
      </c>
      <c r="C55">
        <v>4</v>
      </c>
      <c r="F55" s="26">
        <v>895</v>
      </c>
      <c r="G55" s="8">
        <v>3</v>
      </c>
      <c r="H55">
        <v>5</v>
      </c>
    </row>
    <row r="56" spans="1:8" ht="16">
      <c r="A56" s="26">
        <v>711</v>
      </c>
      <c r="B56" s="8">
        <v>3</v>
      </c>
      <c r="C56">
        <v>3</v>
      </c>
      <c r="F56" s="26">
        <v>711</v>
      </c>
      <c r="G56" s="8">
        <v>2</v>
      </c>
      <c r="H56">
        <v>4</v>
      </c>
    </row>
    <row r="57" spans="1:8" ht="16">
      <c r="A57" s="26">
        <v>983</v>
      </c>
      <c r="B57" s="8">
        <v>5</v>
      </c>
      <c r="C57">
        <v>4</v>
      </c>
      <c r="F57" s="26">
        <v>983</v>
      </c>
      <c r="G57" s="8">
        <v>3</v>
      </c>
      <c r="H57">
        <v>5</v>
      </c>
    </row>
    <row r="58" spans="1:8" ht="16">
      <c r="A58" s="26">
        <v>23</v>
      </c>
      <c r="B58" s="8">
        <v>2</v>
      </c>
      <c r="C58">
        <v>4</v>
      </c>
      <c r="F58" s="26">
        <v>23</v>
      </c>
      <c r="G58" s="8">
        <v>1</v>
      </c>
      <c r="H58">
        <v>4</v>
      </c>
    </row>
    <row r="59" spans="1:8" ht="16">
      <c r="A59" s="26">
        <v>81</v>
      </c>
      <c r="B59" s="8">
        <v>3</v>
      </c>
      <c r="C59">
        <v>4</v>
      </c>
      <c r="F59" s="26">
        <v>81</v>
      </c>
      <c r="G59" s="8">
        <v>3</v>
      </c>
      <c r="H59">
        <v>5</v>
      </c>
    </row>
    <row r="60" spans="1:8" ht="16">
      <c r="A60" s="26">
        <v>177</v>
      </c>
      <c r="B60" s="8">
        <v>5</v>
      </c>
      <c r="C60">
        <v>4</v>
      </c>
      <c r="F60" s="26">
        <v>177</v>
      </c>
      <c r="G60" s="8">
        <v>3</v>
      </c>
      <c r="H60">
        <v>5</v>
      </c>
    </row>
    <row r="61" spans="1:8" ht="16">
      <c r="A61" s="26">
        <v>815</v>
      </c>
      <c r="B61" s="8">
        <v>5</v>
      </c>
      <c r="C61">
        <v>4</v>
      </c>
      <c r="F61" s="26">
        <v>815</v>
      </c>
      <c r="G61" s="8">
        <v>4</v>
      </c>
      <c r="H61">
        <v>5</v>
      </c>
    </row>
    <row r="62" spans="1:8" ht="16">
      <c r="A62" s="26">
        <v>791</v>
      </c>
      <c r="B62" s="8">
        <v>2</v>
      </c>
      <c r="C62">
        <v>4</v>
      </c>
      <c r="F62" s="26">
        <v>791</v>
      </c>
      <c r="G62" s="8">
        <v>4</v>
      </c>
      <c r="H62">
        <v>5</v>
      </c>
    </row>
    <row r="63" spans="1:8" ht="16">
      <c r="A63" s="26">
        <v>20</v>
      </c>
      <c r="B63" s="8">
        <v>2</v>
      </c>
      <c r="C63">
        <v>4</v>
      </c>
      <c r="F63" s="26">
        <v>20</v>
      </c>
      <c r="G63" s="8">
        <v>5</v>
      </c>
      <c r="H63">
        <v>4</v>
      </c>
    </row>
    <row r="64" spans="1:8" ht="16">
      <c r="A64" s="26">
        <v>676</v>
      </c>
      <c r="B64" s="8">
        <v>2</v>
      </c>
      <c r="C64">
        <v>2</v>
      </c>
      <c r="F64" s="26">
        <v>676</v>
      </c>
      <c r="G64" s="8">
        <v>5</v>
      </c>
      <c r="H64">
        <v>3</v>
      </c>
    </row>
    <row r="65" spans="1:8" ht="16">
      <c r="A65" s="26">
        <v>938</v>
      </c>
      <c r="B65" s="8">
        <v>2</v>
      </c>
      <c r="C65">
        <v>5</v>
      </c>
      <c r="F65" s="26">
        <v>938</v>
      </c>
      <c r="G65" s="8">
        <v>5</v>
      </c>
      <c r="H65">
        <v>5</v>
      </c>
    </row>
    <row r="66" spans="1:8" ht="16">
      <c r="A66" s="26">
        <v>855</v>
      </c>
      <c r="B66" s="8">
        <v>5</v>
      </c>
      <c r="C66">
        <v>5</v>
      </c>
      <c r="F66" s="26">
        <v>855</v>
      </c>
      <c r="G66" s="8">
        <v>5</v>
      </c>
      <c r="H66">
        <v>5</v>
      </c>
    </row>
    <row r="67" spans="1:8" ht="16">
      <c r="A67" s="26">
        <v>899</v>
      </c>
      <c r="B67" s="8">
        <v>2</v>
      </c>
      <c r="C67">
        <v>5</v>
      </c>
      <c r="F67" s="26">
        <v>899</v>
      </c>
      <c r="G67" s="8">
        <v>5</v>
      </c>
      <c r="H67">
        <v>5</v>
      </c>
    </row>
    <row r="68" spans="1:8" ht="16">
      <c r="A68" s="26">
        <v>157</v>
      </c>
      <c r="B68" s="8">
        <v>3</v>
      </c>
      <c r="C68">
        <v>4</v>
      </c>
      <c r="F68" s="26">
        <v>157</v>
      </c>
      <c r="G68" s="8">
        <v>5</v>
      </c>
      <c r="H68">
        <v>5</v>
      </c>
    </row>
    <row r="69" spans="1:8" ht="16">
      <c r="A69" s="26">
        <v>805</v>
      </c>
      <c r="B69" s="8">
        <v>3</v>
      </c>
      <c r="C69">
        <v>4</v>
      </c>
      <c r="F69" s="26">
        <v>805</v>
      </c>
      <c r="G69" s="8">
        <v>5</v>
      </c>
      <c r="H69">
        <v>5</v>
      </c>
    </row>
    <row r="70" spans="1:8" ht="16">
      <c r="A70" s="26">
        <v>503</v>
      </c>
      <c r="B70" s="8">
        <v>5</v>
      </c>
      <c r="C70">
        <v>4</v>
      </c>
      <c r="F70" s="26">
        <v>503</v>
      </c>
      <c r="G70" s="8">
        <v>5</v>
      </c>
      <c r="H70">
        <v>5</v>
      </c>
    </row>
    <row r="71" spans="1:8" ht="16">
      <c r="A71" s="26">
        <v>646</v>
      </c>
      <c r="B71" s="8">
        <v>2</v>
      </c>
      <c r="C71">
        <v>2</v>
      </c>
      <c r="F71" s="26">
        <v>646</v>
      </c>
      <c r="G71" s="8">
        <v>5</v>
      </c>
      <c r="H71">
        <v>3</v>
      </c>
    </row>
    <row r="72" spans="1:8" ht="16">
      <c r="A72" s="26">
        <v>883</v>
      </c>
      <c r="B72" s="8">
        <v>5</v>
      </c>
      <c r="C72">
        <v>4</v>
      </c>
      <c r="F72" s="26">
        <v>883</v>
      </c>
      <c r="G72" s="8">
        <v>5</v>
      </c>
      <c r="H72">
        <v>5</v>
      </c>
    </row>
    <row r="73" spans="1:8" ht="16">
      <c r="A73" s="26">
        <v>79</v>
      </c>
      <c r="B73" s="8">
        <v>5</v>
      </c>
      <c r="C73">
        <v>4</v>
      </c>
      <c r="F73" s="26">
        <v>79</v>
      </c>
      <c r="G73" s="8">
        <v>5</v>
      </c>
      <c r="H73">
        <v>5</v>
      </c>
    </row>
    <row r="74" spans="1:8" ht="16">
      <c r="A74" s="26">
        <v>508</v>
      </c>
      <c r="B74" s="8">
        <v>5</v>
      </c>
      <c r="C74">
        <v>4</v>
      </c>
      <c r="F74" s="26">
        <v>508</v>
      </c>
      <c r="G74" s="8">
        <v>4</v>
      </c>
      <c r="H74">
        <v>5</v>
      </c>
    </row>
    <row r="75" spans="1:8" ht="16">
      <c r="A75" s="26">
        <v>4</v>
      </c>
      <c r="B75" s="8">
        <v>5</v>
      </c>
      <c r="C75">
        <v>4</v>
      </c>
      <c r="F75" s="26">
        <v>4</v>
      </c>
      <c r="G75" s="8">
        <v>5</v>
      </c>
      <c r="H75">
        <v>5</v>
      </c>
    </row>
    <row r="76" spans="1:8" ht="16">
      <c r="A76" s="26">
        <v>982</v>
      </c>
      <c r="B76" s="8">
        <v>4</v>
      </c>
      <c r="C76">
        <v>4</v>
      </c>
      <c r="F76" s="26">
        <v>982</v>
      </c>
      <c r="G76" s="8">
        <v>3</v>
      </c>
      <c r="H76">
        <v>5</v>
      </c>
    </row>
    <row r="77" spans="1:8" ht="16">
      <c r="A77" s="26">
        <v>788</v>
      </c>
      <c r="B77" s="8">
        <v>5</v>
      </c>
      <c r="C77">
        <v>4</v>
      </c>
      <c r="F77" s="26">
        <v>788</v>
      </c>
      <c r="G77" s="8">
        <v>5</v>
      </c>
      <c r="H77">
        <v>5</v>
      </c>
    </row>
    <row r="78" spans="1:8" ht="16">
      <c r="A78" s="26">
        <v>146</v>
      </c>
      <c r="B78" s="26">
        <v>1</v>
      </c>
      <c r="C78">
        <v>1</v>
      </c>
      <c r="F78" s="26">
        <v>146</v>
      </c>
      <c r="G78" s="26">
        <v>1</v>
      </c>
      <c r="H78">
        <v>1</v>
      </c>
    </row>
    <row r="79" spans="1:8" ht="16">
      <c r="A79" s="26">
        <v>104</v>
      </c>
      <c r="B79" s="26">
        <v>1</v>
      </c>
      <c r="C79">
        <v>1</v>
      </c>
      <c r="F79" s="26">
        <v>104</v>
      </c>
      <c r="G79" s="26">
        <v>1</v>
      </c>
      <c r="H79">
        <v>1</v>
      </c>
    </row>
    <row r="80" spans="1:8" ht="16">
      <c r="A80" s="26">
        <v>495</v>
      </c>
      <c r="B80" s="8">
        <v>3</v>
      </c>
      <c r="C80">
        <v>4</v>
      </c>
      <c r="F80" s="26">
        <v>495</v>
      </c>
      <c r="G80" s="8">
        <v>5</v>
      </c>
      <c r="H80">
        <v>4</v>
      </c>
    </row>
    <row r="81" spans="1:8" ht="16">
      <c r="A81" s="26">
        <v>308</v>
      </c>
      <c r="B81" s="8">
        <v>3</v>
      </c>
      <c r="C81">
        <v>4</v>
      </c>
      <c r="F81" s="26">
        <v>308</v>
      </c>
      <c r="G81" s="8">
        <v>5</v>
      </c>
      <c r="H81">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6A2A-D9B8-44CF-B9FC-EA160FF38C2C}">
  <dimension ref="A1:Q83"/>
  <sheetViews>
    <sheetView zoomScale="79" workbookViewId="0">
      <selection activeCell="N11" sqref="N11"/>
    </sheetView>
  </sheetViews>
  <sheetFormatPr defaultRowHeight="14.5"/>
  <cols>
    <col min="2" max="2" width="11.453125" customWidth="1"/>
    <col min="3" max="5" width="14.7265625" customWidth="1"/>
    <col min="11" max="11" width="13.6328125" customWidth="1"/>
    <col min="12" max="14" width="17" customWidth="1"/>
  </cols>
  <sheetData>
    <row r="1" spans="1:17" ht="43.5">
      <c r="A1" s="1" t="s">
        <v>219</v>
      </c>
      <c r="B1" s="31" t="s">
        <v>473</v>
      </c>
      <c r="C1" s="20" t="s">
        <v>475</v>
      </c>
      <c r="D1" s="31" t="s">
        <v>473</v>
      </c>
      <c r="E1" s="20" t="s">
        <v>475</v>
      </c>
      <c r="J1" s="1" t="s">
        <v>219</v>
      </c>
      <c r="K1" s="41" t="s">
        <v>140</v>
      </c>
      <c r="L1" s="41" t="s">
        <v>139</v>
      </c>
      <c r="M1" s="41" t="s">
        <v>140</v>
      </c>
      <c r="N1" s="41" t="s">
        <v>139</v>
      </c>
    </row>
    <row r="2" spans="1:17" ht="16">
      <c r="A2" s="32">
        <v>9831</v>
      </c>
      <c r="B2" s="8">
        <v>5</v>
      </c>
      <c r="C2">
        <v>5</v>
      </c>
      <c r="D2">
        <f>_xlfn.RANK.AVG(B2,$B$2:$B$81,0)</f>
        <v>7.5</v>
      </c>
      <c r="E2">
        <f>_xlfn.RANK.AVG(C2,$C$2:$C$81,0)</f>
        <v>28.5</v>
      </c>
      <c r="F2" s="39">
        <f>E2-D2</f>
        <v>21</v>
      </c>
      <c r="G2">
        <f>F2*F2</f>
        <v>441</v>
      </c>
      <c r="H2" cm="1">
        <f t="array" ref="H2">CORREL(_xlfn.RANK.AVG(B2:B81, B2:B81, 1), _xlfn.RANK.AVG(C2:C81, C2:C81, 1))</f>
        <v>0.55461127632474783</v>
      </c>
      <c r="J2" s="32">
        <v>9831</v>
      </c>
      <c r="K2">
        <v>4</v>
      </c>
      <c r="L2">
        <v>5</v>
      </c>
      <c r="M2">
        <f>_xlfn.RANK.AVG(K2,$K$2:$K$81,0)</f>
        <v>53.5</v>
      </c>
      <c r="N2">
        <f>_xlfn.RANK.AVG(L2,$L$2:$L$81,0)</f>
        <v>29.5</v>
      </c>
      <c r="O2" s="39">
        <f>M2-N2</f>
        <v>24</v>
      </c>
      <c r="P2">
        <f>O2*O2</f>
        <v>576</v>
      </c>
      <c r="Q2" cm="1">
        <f t="array" ref="Q2">CORREL(_xlfn.RANK.AVG(K2:K81, K2:K81, 1), _xlfn.RANK.AVG(L2:L81, L2:L81, 1))</f>
        <v>0.17753982483700206</v>
      </c>
    </row>
    <row r="3" spans="1:17" ht="16">
      <c r="A3" s="26">
        <v>255</v>
      </c>
      <c r="B3" s="8">
        <v>4</v>
      </c>
      <c r="C3">
        <v>4</v>
      </c>
      <c r="D3">
        <f t="shared" ref="D3:D66" si="0">_xlfn.RANK.AVG(B3,$B$2:$B$81,0)</f>
        <v>42.5</v>
      </c>
      <c r="E3">
        <f t="shared" ref="E3:E66" si="1">_xlfn.RANK.AVG(C3,$C$2:$C$81,0)</f>
        <v>65.5</v>
      </c>
      <c r="F3" s="39">
        <f t="shared" ref="F3:F66" si="2">E3-D3</f>
        <v>23</v>
      </c>
      <c r="G3">
        <f t="shared" ref="G3:G66" si="3">F3*F3</f>
        <v>529</v>
      </c>
      <c r="J3" s="26">
        <v>255</v>
      </c>
      <c r="K3">
        <v>2</v>
      </c>
      <c r="L3">
        <v>5</v>
      </c>
      <c r="M3">
        <f t="shared" ref="M3:M66" si="4">_xlfn.RANK.AVG(K3,$K$2:$K$81,0)</f>
        <v>73.5</v>
      </c>
      <c r="N3">
        <f t="shared" ref="N3:N66" si="5">_xlfn.RANK.AVG(L3,$L$2:$L$81,0)</f>
        <v>29.5</v>
      </c>
      <c r="O3" s="39">
        <f t="shared" ref="O3:O66" si="6">M3-N3</f>
        <v>44</v>
      </c>
      <c r="P3">
        <f t="shared" ref="P3:P66" si="7">O3*O3</f>
        <v>1936</v>
      </c>
    </row>
    <row r="4" spans="1:17" ht="16">
      <c r="A4" s="26">
        <v>930</v>
      </c>
      <c r="B4" s="8">
        <v>5</v>
      </c>
      <c r="C4">
        <v>5</v>
      </c>
      <c r="D4">
        <f t="shared" si="0"/>
        <v>7.5</v>
      </c>
      <c r="E4">
        <f t="shared" si="1"/>
        <v>28.5</v>
      </c>
      <c r="F4" s="39">
        <f t="shared" si="2"/>
        <v>21</v>
      </c>
      <c r="G4">
        <f t="shared" si="3"/>
        <v>441</v>
      </c>
      <c r="J4" s="26">
        <v>930</v>
      </c>
      <c r="K4">
        <v>5</v>
      </c>
      <c r="L4">
        <v>5</v>
      </c>
      <c r="M4">
        <f t="shared" si="4"/>
        <v>24</v>
      </c>
      <c r="N4">
        <f t="shared" si="5"/>
        <v>29.5</v>
      </c>
      <c r="O4" s="39">
        <f t="shared" si="6"/>
        <v>-5.5</v>
      </c>
      <c r="P4">
        <f t="shared" si="7"/>
        <v>30.25</v>
      </c>
    </row>
    <row r="5" spans="1:17" ht="16">
      <c r="A5" s="26">
        <v>765</v>
      </c>
      <c r="B5" s="8">
        <v>4</v>
      </c>
      <c r="C5">
        <v>5</v>
      </c>
      <c r="D5">
        <f t="shared" si="0"/>
        <v>42.5</v>
      </c>
      <c r="E5">
        <f t="shared" si="1"/>
        <v>28.5</v>
      </c>
      <c r="F5" s="39">
        <f t="shared" si="2"/>
        <v>-14</v>
      </c>
      <c r="G5">
        <f t="shared" si="3"/>
        <v>196</v>
      </c>
      <c r="J5" s="26">
        <v>765</v>
      </c>
      <c r="K5">
        <v>5</v>
      </c>
      <c r="L5">
        <v>5</v>
      </c>
      <c r="M5">
        <f t="shared" si="4"/>
        <v>24</v>
      </c>
      <c r="N5">
        <f t="shared" si="5"/>
        <v>29.5</v>
      </c>
      <c r="O5" s="39">
        <f t="shared" si="6"/>
        <v>-5.5</v>
      </c>
      <c r="P5">
        <f t="shared" si="7"/>
        <v>30.25</v>
      </c>
    </row>
    <row r="6" spans="1:17" ht="16">
      <c r="A6" s="26">
        <v>968</v>
      </c>
      <c r="B6" s="8">
        <v>5</v>
      </c>
      <c r="C6">
        <v>5</v>
      </c>
      <c r="D6">
        <f t="shared" si="0"/>
        <v>7.5</v>
      </c>
      <c r="E6">
        <f t="shared" si="1"/>
        <v>28.5</v>
      </c>
      <c r="F6" s="39">
        <f t="shared" si="2"/>
        <v>21</v>
      </c>
      <c r="G6">
        <f t="shared" si="3"/>
        <v>441</v>
      </c>
      <c r="J6" s="26">
        <v>968</v>
      </c>
      <c r="K6">
        <v>5</v>
      </c>
      <c r="L6">
        <v>5</v>
      </c>
      <c r="M6">
        <f t="shared" si="4"/>
        <v>24</v>
      </c>
      <c r="N6">
        <f t="shared" si="5"/>
        <v>29.5</v>
      </c>
      <c r="O6" s="39">
        <f t="shared" si="6"/>
        <v>-5.5</v>
      </c>
      <c r="P6">
        <f t="shared" si="7"/>
        <v>30.25</v>
      </c>
    </row>
    <row r="7" spans="1:17" ht="16">
      <c r="A7" s="26">
        <v>643</v>
      </c>
      <c r="B7" s="8">
        <v>4</v>
      </c>
      <c r="C7">
        <v>4</v>
      </c>
      <c r="D7">
        <f t="shared" si="0"/>
        <v>42.5</v>
      </c>
      <c r="E7">
        <f t="shared" si="1"/>
        <v>65.5</v>
      </c>
      <c r="F7" s="39">
        <f t="shared" si="2"/>
        <v>23</v>
      </c>
      <c r="G7">
        <f t="shared" si="3"/>
        <v>529</v>
      </c>
      <c r="J7" s="26">
        <v>643</v>
      </c>
      <c r="K7">
        <v>5</v>
      </c>
      <c r="L7">
        <v>5</v>
      </c>
      <c r="M7">
        <f t="shared" si="4"/>
        <v>24</v>
      </c>
      <c r="N7">
        <f t="shared" si="5"/>
        <v>29.5</v>
      </c>
      <c r="O7" s="39">
        <f t="shared" si="6"/>
        <v>-5.5</v>
      </c>
      <c r="P7">
        <f t="shared" si="7"/>
        <v>30.25</v>
      </c>
    </row>
    <row r="8" spans="1:17" ht="16">
      <c r="A8" s="26">
        <v>750</v>
      </c>
      <c r="B8" s="8">
        <v>4</v>
      </c>
      <c r="C8">
        <v>5</v>
      </c>
      <c r="D8">
        <f t="shared" si="0"/>
        <v>42.5</v>
      </c>
      <c r="E8">
        <f t="shared" si="1"/>
        <v>28.5</v>
      </c>
      <c r="F8" s="39">
        <f t="shared" si="2"/>
        <v>-14</v>
      </c>
      <c r="G8">
        <f t="shared" si="3"/>
        <v>196</v>
      </c>
      <c r="J8" s="26">
        <v>750</v>
      </c>
      <c r="K8">
        <v>3</v>
      </c>
      <c r="L8">
        <v>5</v>
      </c>
      <c r="M8">
        <f t="shared" si="4"/>
        <v>65.5</v>
      </c>
      <c r="N8">
        <f t="shared" si="5"/>
        <v>29.5</v>
      </c>
      <c r="O8" s="39">
        <f t="shared" si="6"/>
        <v>36</v>
      </c>
      <c r="P8">
        <f t="shared" si="7"/>
        <v>1296</v>
      </c>
    </row>
    <row r="9" spans="1:17" ht="16">
      <c r="A9" s="26">
        <v>856</v>
      </c>
      <c r="B9" s="8">
        <v>5</v>
      </c>
      <c r="C9">
        <v>5</v>
      </c>
      <c r="D9">
        <f t="shared" si="0"/>
        <v>7.5</v>
      </c>
      <c r="E9">
        <f t="shared" si="1"/>
        <v>28.5</v>
      </c>
      <c r="F9" s="39">
        <f t="shared" si="2"/>
        <v>21</v>
      </c>
      <c r="G9">
        <f t="shared" si="3"/>
        <v>441</v>
      </c>
      <c r="J9" s="26">
        <v>856</v>
      </c>
      <c r="K9">
        <v>5</v>
      </c>
      <c r="L9">
        <v>5</v>
      </c>
      <c r="M9">
        <f t="shared" si="4"/>
        <v>24</v>
      </c>
      <c r="N9">
        <f t="shared" si="5"/>
        <v>29.5</v>
      </c>
      <c r="O9" s="39">
        <f t="shared" si="6"/>
        <v>-5.5</v>
      </c>
      <c r="P9">
        <f t="shared" si="7"/>
        <v>30.25</v>
      </c>
    </row>
    <row r="10" spans="1:17" ht="16">
      <c r="A10" s="32">
        <v>8991</v>
      </c>
      <c r="B10" s="8">
        <v>5</v>
      </c>
      <c r="C10">
        <v>5</v>
      </c>
      <c r="D10">
        <f t="shared" si="0"/>
        <v>7.5</v>
      </c>
      <c r="E10">
        <f t="shared" si="1"/>
        <v>28.5</v>
      </c>
      <c r="F10" s="39">
        <f t="shared" si="2"/>
        <v>21</v>
      </c>
      <c r="G10">
        <f t="shared" si="3"/>
        <v>441</v>
      </c>
      <c r="J10" s="32">
        <v>8991</v>
      </c>
      <c r="K10">
        <v>4</v>
      </c>
      <c r="L10">
        <v>5</v>
      </c>
      <c r="M10">
        <f t="shared" si="4"/>
        <v>53.5</v>
      </c>
      <c r="N10">
        <f t="shared" si="5"/>
        <v>29.5</v>
      </c>
      <c r="O10" s="39">
        <f t="shared" si="6"/>
        <v>24</v>
      </c>
      <c r="P10">
        <f t="shared" si="7"/>
        <v>576</v>
      </c>
    </row>
    <row r="11" spans="1:17" ht="16">
      <c r="A11" s="32">
        <v>3041</v>
      </c>
      <c r="B11" s="8">
        <v>4</v>
      </c>
      <c r="C11">
        <v>5</v>
      </c>
      <c r="D11">
        <f t="shared" si="0"/>
        <v>42.5</v>
      </c>
      <c r="E11">
        <f t="shared" si="1"/>
        <v>28.5</v>
      </c>
      <c r="F11" s="39">
        <f t="shared" si="2"/>
        <v>-14</v>
      </c>
      <c r="G11">
        <f t="shared" si="3"/>
        <v>196</v>
      </c>
      <c r="J11" s="32">
        <v>3041</v>
      </c>
      <c r="K11">
        <v>3</v>
      </c>
      <c r="L11">
        <v>5</v>
      </c>
      <c r="M11">
        <f t="shared" si="4"/>
        <v>65.5</v>
      </c>
      <c r="N11">
        <f t="shared" si="5"/>
        <v>29.5</v>
      </c>
      <c r="O11" s="39">
        <f t="shared" si="6"/>
        <v>36</v>
      </c>
      <c r="P11">
        <f t="shared" si="7"/>
        <v>1296</v>
      </c>
    </row>
    <row r="12" spans="1:17" ht="16">
      <c r="A12" s="26">
        <v>197</v>
      </c>
      <c r="B12" s="8">
        <v>4</v>
      </c>
      <c r="C12">
        <v>5</v>
      </c>
      <c r="D12">
        <f t="shared" si="0"/>
        <v>42.5</v>
      </c>
      <c r="E12">
        <f t="shared" si="1"/>
        <v>28.5</v>
      </c>
      <c r="F12" s="39">
        <f t="shared" si="2"/>
        <v>-14</v>
      </c>
      <c r="G12">
        <f t="shared" si="3"/>
        <v>196</v>
      </c>
      <c r="J12" s="26">
        <v>197</v>
      </c>
      <c r="K12">
        <v>5</v>
      </c>
      <c r="L12">
        <v>5</v>
      </c>
      <c r="M12">
        <f t="shared" si="4"/>
        <v>24</v>
      </c>
      <c r="N12">
        <f t="shared" si="5"/>
        <v>29.5</v>
      </c>
      <c r="O12" s="39">
        <f t="shared" si="6"/>
        <v>-5.5</v>
      </c>
      <c r="P12">
        <f t="shared" si="7"/>
        <v>30.25</v>
      </c>
    </row>
    <row r="13" spans="1:17" ht="16">
      <c r="A13" s="26">
        <v>561</v>
      </c>
      <c r="B13" s="8">
        <v>4</v>
      </c>
      <c r="C13">
        <v>5</v>
      </c>
      <c r="D13">
        <f t="shared" si="0"/>
        <v>42.5</v>
      </c>
      <c r="E13">
        <f t="shared" si="1"/>
        <v>28.5</v>
      </c>
      <c r="F13" s="39">
        <f t="shared" si="2"/>
        <v>-14</v>
      </c>
      <c r="G13">
        <f t="shared" si="3"/>
        <v>196</v>
      </c>
      <c r="J13" s="26">
        <v>561</v>
      </c>
      <c r="K13">
        <v>5</v>
      </c>
      <c r="L13">
        <v>5</v>
      </c>
      <c r="M13">
        <f t="shared" si="4"/>
        <v>24</v>
      </c>
      <c r="N13">
        <f t="shared" si="5"/>
        <v>29.5</v>
      </c>
      <c r="O13" s="39">
        <f t="shared" si="6"/>
        <v>-5.5</v>
      </c>
      <c r="P13">
        <f t="shared" si="7"/>
        <v>30.25</v>
      </c>
    </row>
    <row r="14" spans="1:17" ht="16">
      <c r="A14" s="26">
        <v>34</v>
      </c>
      <c r="B14" s="8">
        <v>4</v>
      </c>
      <c r="C14">
        <v>5</v>
      </c>
      <c r="D14">
        <f t="shared" si="0"/>
        <v>42.5</v>
      </c>
      <c r="E14">
        <f t="shared" si="1"/>
        <v>28.5</v>
      </c>
      <c r="F14" s="39">
        <f t="shared" si="2"/>
        <v>-14</v>
      </c>
      <c r="G14">
        <f t="shared" si="3"/>
        <v>196</v>
      </c>
      <c r="J14" s="26">
        <v>34</v>
      </c>
      <c r="K14">
        <v>5</v>
      </c>
      <c r="L14">
        <v>5</v>
      </c>
      <c r="M14">
        <f t="shared" si="4"/>
        <v>24</v>
      </c>
      <c r="N14">
        <f t="shared" si="5"/>
        <v>29.5</v>
      </c>
      <c r="O14" s="39">
        <f t="shared" si="6"/>
        <v>-5.5</v>
      </c>
      <c r="P14">
        <f t="shared" si="7"/>
        <v>30.25</v>
      </c>
    </row>
    <row r="15" spans="1:17" ht="16">
      <c r="A15" s="26">
        <v>6</v>
      </c>
      <c r="B15" s="8">
        <v>4</v>
      </c>
      <c r="C15">
        <v>5</v>
      </c>
      <c r="D15">
        <f t="shared" si="0"/>
        <v>42.5</v>
      </c>
      <c r="E15">
        <f t="shared" si="1"/>
        <v>28.5</v>
      </c>
      <c r="F15" s="39">
        <f t="shared" si="2"/>
        <v>-14</v>
      </c>
      <c r="G15">
        <f t="shared" si="3"/>
        <v>196</v>
      </c>
      <c r="J15" s="26">
        <v>6</v>
      </c>
      <c r="K15">
        <v>5</v>
      </c>
      <c r="L15">
        <v>5</v>
      </c>
      <c r="M15">
        <f t="shared" si="4"/>
        <v>24</v>
      </c>
      <c r="N15">
        <f t="shared" si="5"/>
        <v>29.5</v>
      </c>
      <c r="O15" s="39">
        <f t="shared" si="6"/>
        <v>-5.5</v>
      </c>
      <c r="P15">
        <f t="shared" si="7"/>
        <v>30.25</v>
      </c>
    </row>
    <row r="16" spans="1:17" ht="16">
      <c r="A16" s="26">
        <v>607</v>
      </c>
      <c r="B16" s="8">
        <v>4</v>
      </c>
      <c r="C16">
        <v>5</v>
      </c>
      <c r="D16">
        <f t="shared" si="0"/>
        <v>42.5</v>
      </c>
      <c r="E16">
        <f t="shared" si="1"/>
        <v>28.5</v>
      </c>
      <c r="F16" s="39">
        <f t="shared" si="2"/>
        <v>-14</v>
      </c>
      <c r="G16">
        <f t="shared" si="3"/>
        <v>196</v>
      </c>
      <c r="J16" s="26">
        <v>607</v>
      </c>
      <c r="K16">
        <v>5</v>
      </c>
      <c r="L16">
        <v>5</v>
      </c>
      <c r="M16">
        <f t="shared" si="4"/>
        <v>24</v>
      </c>
      <c r="N16">
        <f t="shared" si="5"/>
        <v>29.5</v>
      </c>
      <c r="O16" s="39">
        <f t="shared" si="6"/>
        <v>-5.5</v>
      </c>
      <c r="P16">
        <f t="shared" si="7"/>
        <v>30.25</v>
      </c>
    </row>
    <row r="17" spans="1:16" ht="16">
      <c r="A17" s="26">
        <v>739</v>
      </c>
      <c r="B17" s="8">
        <v>4</v>
      </c>
      <c r="C17">
        <v>5</v>
      </c>
      <c r="D17">
        <f t="shared" si="0"/>
        <v>42.5</v>
      </c>
      <c r="E17">
        <f t="shared" si="1"/>
        <v>28.5</v>
      </c>
      <c r="F17" s="39">
        <f t="shared" si="2"/>
        <v>-14</v>
      </c>
      <c r="G17">
        <f t="shared" si="3"/>
        <v>196</v>
      </c>
      <c r="J17" s="26">
        <v>739</v>
      </c>
      <c r="K17">
        <v>5</v>
      </c>
      <c r="L17">
        <v>5</v>
      </c>
      <c r="M17">
        <f t="shared" si="4"/>
        <v>24</v>
      </c>
      <c r="N17">
        <f t="shared" si="5"/>
        <v>29.5</v>
      </c>
      <c r="O17" s="39">
        <f t="shared" si="6"/>
        <v>-5.5</v>
      </c>
      <c r="P17">
        <f t="shared" si="7"/>
        <v>30.25</v>
      </c>
    </row>
    <row r="18" spans="1:16" ht="16">
      <c r="A18" s="26">
        <v>477</v>
      </c>
      <c r="B18" s="8">
        <v>4</v>
      </c>
      <c r="C18">
        <v>5</v>
      </c>
      <c r="D18">
        <f t="shared" si="0"/>
        <v>42.5</v>
      </c>
      <c r="E18">
        <f t="shared" si="1"/>
        <v>28.5</v>
      </c>
      <c r="F18" s="39">
        <f t="shared" si="2"/>
        <v>-14</v>
      </c>
      <c r="G18">
        <f t="shared" si="3"/>
        <v>196</v>
      </c>
      <c r="J18" s="26">
        <v>477</v>
      </c>
      <c r="K18">
        <v>4</v>
      </c>
      <c r="L18">
        <v>5</v>
      </c>
      <c r="M18">
        <f t="shared" si="4"/>
        <v>53.5</v>
      </c>
      <c r="N18">
        <f t="shared" si="5"/>
        <v>29.5</v>
      </c>
      <c r="O18" s="39">
        <f t="shared" si="6"/>
        <v>24</v>
      </c>
      <c r="P18">
        <f t="shared" si="7"/>
        <v>576</v>
      </c>
    </row>
    <row r="19" spans="1:16" ht="16">
      <c r="A19" s="26">
        <v>649</v>
      </c>
      <c r="B19" s="8">
        <v>4</v>
      </c>
      <c r="C19">
        <v>5</v>
      </c>
      <c r="D19">
        <f t="shared" si="0"/>
        <v>42.5</v>
      </c>
      <c r="E19">
        <f t="shared" si="1"/>
        <v>28.5</v>
      </c>
      <c r="F19" s="39">
        <f t="shared" si="2"/>
        <v>-14</v>
      </c>
      <c r="G19">
        <f t="shared" si="3"/>
        <v>196</v>
      </c>
      <c r="J19" s="26">
        <v>649</v>
      </c>
      <c r="K19">
        <v>5</v>
      </c>
      <c r="L19">
        <v>5</v>
      </c>
      <c r="M19">
        <f t="shared" si="4"/>
        <v>24</v>
      </c>
      <c r="N19">
        <f t="shared" si="5"/>
        <v>29.5</v>
      </c>
      <c r="O19" s="39">
        <f t="shared" si="6"/>
        <v>-5.5</v>
      </c>
      <c r="P19">
        <f t="shared" si="7"/>
        <v>30.25</v>
      </c>
    </row>
    <row r="20" spans="1:16" ht="16">
      <c r="A20" s="26">
        <v>64</v>
      </c>
      <c r="B20" s="8">
        <v>4</v>
      </c>
      <c r="C20">
        <v>5</v>
      </c>
      <c r="D20">
        <f t="shared" si="0"/>
        <v>42.5</v>
      </c>
      <c r="E20">
        <f t="shared" si="1"/>
        <v>28.5</v>
      </c>
      <c r="F20" s="39">
        <f t="shared" si="2"/>
        <v>-14</v>
      </c>
      <c r="G20">
        <f t="shared" si="3"/>
        <v>196</v>
      </c>
      <c r="J20" s="26">
        <v>64</v>
      </c>
      <c r="K20">
        <v>5</v>
      </c>
      <c r="L20">
        <v>5</v>
      </c>
      <c r="M20">
        <f t="shared" si="4"/>
        <v>24</v>
      </c>
      <c r="N20">
        <f t="shared" si="5"/>
        <v>29.5</v>
      </c>
      <c r="O20" s="39">
        <f t="shared" si="6"/>
        <v>-5.5</v>
      </c>
      <c r="P20">
        <f t="shared" si="7"/>
        <v>30.25</v>
      </c>
    </row>
    <row r="21" spans="1:16" ht="16">
      <c r="A21" s="26">
        <v>773</v>
      </c>
      <c r="B21" s="8">
        <v>4</v>
      </c>
      <c r="C21">
        <v>5</v>
      </c>
      <c r="D21">
        <f t="shared" si="0"/>
        <v>42.5</v>
      </c>
      <c r="E21">
        <f t="shared" si="1"/>
        <v>28.5</v>
      </c>
      <c r="F21" s="39">
        <f t="shared" si="2"/>
        <v>-14</v>
      </c>
      <c r="G21">
        <f t="shared" si="3"/>
        <v>196</v>
      </c>
      <c r="J21" s="26">
        <v>773</v>
      </c>
      <c r="K21">
        <v>5</v>
      </c>
      <c r="L21">
        <v>5</v>
      </c>
      <c r="M21">
        <f t="shared" si="4"/>
        <v>24</v>
      </c>
      <c r="N21">
        <f t="shared" si="5"/>
        <v>29.5</v>
      </c>
      <c r="O21" s="39">
        <f t="shared" si="6"/>
        <v>-5.5</v>
      </c>
      <c r="P21">
        <f t="shared" si="7"/>
        <v>30.25</v>
      </c>
    </row>
    <row r="22" spans="1:16" ht="16">
      <c r="A22" s="26">
        <v>216</v>
      </c>
      <c r="B22" s="8">
        <v>4</v>
      </c>
      <c r="C22">
        <v>5</v>
      </c>
      <c r="D22">
        <f t="shared" si="0"/>
        <v>42.5</v>
      </c>
      <c r="E22">
        <f t="shared" si="1"/>
        <v>28.5</v>
      </c>
      <c r="F22" s="39">
        <f t="shared" si="2"/>
        <v>-14</v>
      </c>
      <c r="G22">
        <f t="shared" si="3"/>
        <v>196</v>
      </c>
      <c r="J22" s="26">
        <v>216</v>
      </c>
      <c r="K22">
        <v>1</v>
      </c>
      <c r="L22">
        <v>3</v>
      </c>
      <c r="M22">
        <f t="shared" si="4"/>
        <v>78</v>
      </c>
      <c r="N22">
        <f t="shared" si="5"/>
        <v>66</v>
      </c>
      <c r="O22" s="39">
        <f t="shared" si="6"/>
        <v>12</v>
      </c>
      <c r="P22">
        <f t="shared" si="7"/>
        <v>144</v>
      </c>
    </row>
    <row r="23" spans="1:16" ht="16">
      <c r="A23" s="26">
        <v>140</v>
      </c>
      <c r="B23" s="8">
        <v>1</v>
      </c>
      <c r="C23">
        <v>1</v>
      </c>
      <c r="D23">
        <f t="shared" si="0"/>
        <v>79</v>
      </c>
      <c r="E23">
        <f t="shared" si="1"/>
        <v>79</v>
      </c>
      <c r="F23" s="39">
        <f t="shared" si="2"/>
        <v>0</v>
      </c>
      <c r="G23">
        <f t="shared" si="3"/>
        <v>0</v>
      </c>
      <c r="J23" s="26">
        <v>140</v>
      </c>
      <c r="K23">
        <v>1</v>
      </c>
      <c r="L23">
        <v>1</v>
      </c>
      <c r="M23">
        <f t="shared" si="4"/>
        <v>78</v>
      </c>
      <c r="N23">
        <f t="shared" si="5"/>
        <v>79</v>
      </c>
      <c r="O23" s="39">
        <f t="shared" si="6"/>
        <v>-1</v>
      </c>
      <c r="P23">
        <f t="shared" si="7"/>
        <v>1</v>
      </c>
    </row>
    <row r="24" spans="1:16" ht="16">
      <c r="A24" s="26">
        <v>395</v>
      </c>
      <c r="B24" s="8">
        <v>5</v>
      </c>
      <c r="C24">
        <v>5</v>
      </c>
      <c r="D24">
        <f t="shared" si="0"/>
        <v>7.5</v>
      </c>
      <c r="E24">
        <f t="shared" si="1"/>
        <v>28.5</v>
      </c>
      <c r="F24" s="39">
        <f t="shared" si="2"/>
        <v>21</v>
      </c>
      <c r="G24">
        <f t="shared" si="3"/>
        <v>441</v>
      </c>
      <c r="J24" s="26">
        <v>395</v>
      </c>
      <c r="K24">
        <v>5</v>
      </c>
      <c r="L24">
        <v>5</v>
      </c>
      <c r="M24">
        <f t="shared" si="4"/>
        <v>24</v>
      </c>
      <c r="N24">
        <f t="shared" si="5"/>
        <v>29.5</v>
      </c>
      <c r="O24" s="39">
        <f t="shared" si="6"/>
        <v>-5.5</v>
      </c>
      <c r="P24">
        <f t="shared" si="7"/>
        <v>30.25</v>
      </c>
    </row>
    <row r="25" spans="1:16" ht="16">
      <c r="A25" s="26">
        <v>740</v>
      </c>
      <c r="B25" s="8">
        <v>3</v>
      </c>
      <c r="C25">
        <v>2</v>
      </c>
      <c r="D25">
        <f t="shared" si="0"/>
        <v>73</v>
      </c>
      <c r="E25">
        <f t="shared" si="1"/>
        <v>77</v>
      </c>
      <c r="F25" s="39">
        <f t="shared" si="2"/>
        <v>4</v>
      </c>
      <c r="G25">
        <f t="shared" si="3"/>
        <v>16</v>
      </c>
      <c r="J25" s="26">
        <v>740</v>
      </c>
      <c r="K25">
        <v>4</v>
      </c>
      <c r="L25">
        <v>5</v>
      </c>
      <c r="M25">
        <f t="shared" si="4"/>
        <v>53.5</v>
      </c>
      <c r="N25">
        <f t="shared" si="5"/>
        <v>29.5</v>
      </c>
      <c r="O25" s="39">
        <f t="shared" si="6"/>
        <v>24</v>
      </c>
      <c r="P25">
        <f t="shared" si="7"/>
        <v>576</v>
      </c>
    </row>
    <row r="26" spans="1:16" ht="16">
      <c r="A26" s="26">
        <v>231</v>
      </c>
      <c r="B26" s="8">
        <v>4</v>
      </c>
      <c r="C26">
        <v>4</v>
      </c>
      <c r="D26">
        <f t="shared" si="0"/>
        <v>42.5</v>
      </c>
      <c r="E26">
        <f t="shared" si="1"/>
        <v>65.5</v>
      </c>
      <c r="F26" s="39">
        <f t="shared" si="2"/>
        <v>23</v>
      </c>
      <c r="G26">
        <f t="shared" si="3"/>
        <v>529</v>
      </c>
      <c r="J26" s="26">
        <v>231</v>
      </c>
      <c r="K26">
        <v>5</v>
      </c>
      <c r="L26">
        <v>5</v>
      </c>
      <c r="M26">
        <f t="shared" si="4"/>
        <v>24</v>
      </c>
      <c r="N26">
        <f t="shared" si="5"/>
        <v>29.5</v>
      </c>
      <c r="O26" s="39">
        <f t="shared" si="6"/>
        <v>-5.5</v>
      </c>
      <c r="P26">
        <f t="shared" si="7"/>
        <v>30.25</v>
      </c>
    </row>
    <row r="27" spans="1:16" ht="16">
      <c r="A27" s="26">
        <v>346</v>
      </c>
      <c r="B27" s="8">
        <v>5</v>
      </c>
      <c r="C27">
        <v>5</v>
      </c>
      <c r="D27">
        <f t="shared" si="0"/>
        <v>7.5</v>
      </c>
      <c r="E27">
        <f t="shared" si="1"/>
        <v>28.5</v>
      </c>
      <c r="F27" s="39">
        <f t="shared" si="2"/>
        <v>21</v>
      </c>
      <c r="G27">
        <f t="shared" si="3"/>
        <v>441</v>
      </c>
      <c r="J27" s="26">
        <v>346</v>
      </c>
      <c r="K27">
        <v>5</v>
      </c>
      <c r="L27">
        <v>5</v>
      </c>
      <c r="M27">
        <f t="shared" si="4"/>
        <v>24</v>
      </c>
      <c r="N27">
        <f t="shared" si="5"/>
        <v>29.5</v>
      </c>
      <c r="O27" s="39">
        <f t="shared" si="6"/>
        <v>-5.5</v>
      </c>
      <c r="P27">
        <f t="shared" si="7"/>
        <v>30.25</v>
      </c>
    </row>
    <row r="28" spans="1:16" ht="16">
      <c r="A28" s="26">
        <v>343</v>
      </c>
      <c r="B28" s="8">
        <v>5</v>
      </c>
      <c r="C28">
        <v>4</v>
      </c>
      <c r="D28">
        <f t="shared" si="0"/>
        <v>7.5</v>
      </c>
      <c r="E28">
        <f t="shared" si="1"/>
        <v>65.5</v>
      </c>
      <c r="F28" s="39">
        <f t="shared" si="2"/>
        <v>58</v>
      </c>
      <c r="G28">
        <f t="shared" si="3"/>
        <v>3364</v>
      </c>
      <c r="J28" s="26">
        <v>343</v>
      </c>
      <c r="K28">
        <v>5</v>
      </c>
      <c r="L28">
        <v>5</v>
      </c>
      <c r="M28">
        <f t="shared" si="4"/>
        <v>24</v>
      </c>
      <c r="N28">
        <f t="shared" si="5"/>
        <v>29.5</v>
      </c>
      <c r="O28" s="39">
        <f t="shared" si="6"/>
        <v>-5.5</v>
      </c>
      <c r="P28">
        <f t="shared" si="7"/>
        <v>30.25</v>
      </c>
    </row>
    <row r="29" spans="1:16" ht="16">
      <c r="A29" s="26">
        <v>315</v>
      </c>
      <c r="B29" s="8">
        <v>5</v>
      </c>
      <c r="C29">
        <v>5</v>
      </c>
      <c r="D29">
        <f t="shared" si="0"/>
        <v>7.5</v>
      </c>
      <c r="E29">
        <f t="shared" si="1"/>
        <v>28.5</v>
      </c>
      <c r="F29" s="39">
        <f t="shared" si="2"/>
        <v>21</v>
      </c>
      <c r="G29">
        <f t="shared" si="3"/>
        <v>441</v>
      </c>
      <c r="J29" s="26">
        <v>315</v>
      </c>
      <c r="K29">
        <v>5</v>
      </c>
      <c r="L29">
        <v>5</v>
      </c>
      <c r="M29">
        <f t="shared" si="4"/>
        <v>24</v>
      </c>
      <c r="N29">
        <f t="shared" si="5"/>
        <v>29.5</v>
      </c>
      <c r="O29" s="39">
        <f t="shared" si="6"/>
        <v>-5.5</v>
      </c>
      <c r="P29">
        <f t="shared" si="7"/>
        <v>30.25</v>
      </c>
    </row>
    <row r="30" spans="1:16" ht="16">
      <c r="A30" s="26">
        <v>838</v>
      </c>
      <c r="B30" s="8">
        <v>5</v>
      </c>
      <c r="C30">
        <v>5</v>
      </c>
      <c r="D30">
        <f t="shared" si="0"/>
        <v>7.5</v>
      </c>
      <c r="E30">
        <f t="shared" si="1"/>
        <v>28.5</v>
      </c>
      <c r="F30" s="39">
        <f t="shared" si="2"/>
        <v>21</v>
      </c>
      <c r="G30">
        <f t="shared" si="3"/>
        <v>441</v>
      </c>
      <c r="J30" s="26">
        <v>838</v>
      </c>
      <c r="K30">
        <v>4</v>
      </c>
      <c r="L30">
        <v>5</v>
      </c>
      <c r="M30">
        <f t="shared" si="4"/>
        <v>53.5</v>
      </c>
      <c r="N30">
        <f t="shared" si="5"/>
        <v>29.5</v>
      </c>
      <c r="O30" s="39">
        <f t="shared" si="6"/>
        <v>24</v>
      </c>
      <c r="P30">
        <f t="shared" si="7"/>
        <v>576</v>
      </c>
    </row>
    <row r="31" spans="1:16" ht="16">
      <c r="A31" s="26">
        <v>400</v>
      </c>
      <c r="B31" s="8">
        <v>4</v>
      </c>
      <c r="C31">
        <v>5</v>
      </c>
      <c r="D31">
        <f t="shared" si="0"/>
        <v>42.5</v>
      </c>
      <c r="E31">
        <f t="shared" si="1"/>
        <v>28.5</v>
      </c>
      <c r="F31" s="39">
        <f t="shared" si="2"/>
        <v>-14</v>
      </c>
      <c r="G31">
        <f t="shared" si="3"/>
        <v>196</v>
      </c>
      <c r="J31" s="26">
        <v>400</v>
      </c>
      <c r="K31">
        <v>5</v>
      </c>
      <c r="L31">
        <v>5</v>
      </c>
      <c r="M31">
        <f t="shared" si="4"/>
        <v>24</v>
      </c>
      <c r="N31">
        <f t="shared" si="5"/>
        <v>29.5</v>
      </c>
      <c r="O31" s="39">
        <f t="shared" si="6"/>
        <v>-5.5</v>
      </c>
      <c r="P31">
        <f t="shared" si="7"/>
        <v>30.25</v>
      </c>
    </row>
    <row r="32" spans="1:16" ht="16">
      <c r="A32" s="26">
        <v>70</v>
      </c>
      <c r="B32" s="8">
        <v>4</v>
      </c>
      <c r="C32">
        <v>4</v>
      </c>
      <c r="D32">
        <f t="shared" si="0"/>
        <v>42.5</v>
      </c>
      <c r="E32">
        <f t="shared" si="1"/>
        <v>65.5</v>
      </c>
      <c r="F32" s="39">
        <f t="shared" si="2"/>
        <v>23</v>
      </c>
      <c r="G32">
        <f t="shared" si="3"/>
        <v>529</v>
      </c>
      <c r="J32" s="26">
        <v>70</v>
      </c>
      <c r="K32">
        <v>4</v>
      </c>
      <c r="L32">
        <v>5</v>
      </c>
      <c r="M32">
        <f t="shared" si="4"/>
        <v>53.5</v>
      </c>
      <c r="N32">
        <f t="shared" si="5"/>
        <v>29.5</v>
      </c>
      <c r="O32" s="39">
        <f t="shared" si="6"/>
        <v>24</v>
      </c>
      <c r="P32">
        <f t="shared" si="7"/>
        <v>576</v>
      </c>
    </row>
    <row r="33" spans="1:16" ht="16">
      <c r="A33" s="26">
        <v>29</v>
      </c>
      <c r="B33" s="8">
        <v>4</v>
      </c>
      <c r="C33">
        <v>5</v>
      </c>
      <c r="D33">
        <f t="shared" si="0"/>
        <v>42.5</v>
      </c>
      <c r="E33">
        <f t="shared" si="1"/>
        <v>28.5</v>
      </c>
      <c r="F33" s="39">
        <f t="shared" si="2"/>
        <v>-14</v>
      </c>
      <c r="G33">
        <f t="shared" si="3"/>
        <v>196</v>
      </c>
      <c r="J33" s="26">
        <v>29</v>
      </c>
      <c r="K33">
        <v>3</v>
      </c>
      <c r="L33">
        <v>5</v>
      </c>
      <c r="M33">
        <f t="shared" si="4"/>
        <v>65.5</v>
      </c>
      <c r="N33">
        <f t="shared" si="5"/>
        <v>29.5</v>
      </c>
      <c r="O33" s="39">
        <f t="shared" si="6"/>
        <v>36</v>
      </c>
      <c r="P33">
        <f t="shared" si="7"/>
        <v>1296</v>
      </c>
    </row>
    <row r="34" spans="1:16" ht="16">
      <c r="A34" s="26">
        <v>540</v>
      </c>
      <c r="B34" s="8">
        <v>4</v>
      </c>
      <c r="C34">
        <v>5</v>
      </c>
      <c r="D34">
        <f t="shared" si="0"/>
        <v>42.5</v>
      </c>
      <c r="E34">
        <f t="shared" si="1"/>
        <v>28.5</v>
      </c>
      <c r="F34" s="39">
        <f t="shared" si="2"/>
        <v>-14</v>
      </c>
      <c r="G34">
        <f t="shared" si="3"/>
        <v>196</v>
      </c>
      <c r="J34" s="26">
        <v>540</v>
      </c>
      <c r="K34">
        <v>3</v>
      </c>
      <c r="L34">
        <v>5</v>
      </c>
      <c r="M34">
        <f t="shared" si="4"/>
        <v>65.5</v>
      </c>
      <c r="N34">
        <f t="shared" si="5"/>
        <v>29.5</v>
      </c>
      <c r="O34" s="39">
        <f t="shared" si="6"/>
        <v>36</v>
      </c>
      <c r="P34">
        <f t="shared" si="7"/>
        <v>1296</v>
      </c>
    </row>
    <row r="35" spans="1:16" ht="16">
      <c r="A35" s="26">
        <v>386</v>
      </c>
      <c r="B35" s="8">
        <v>4</v>
      </c>
      <c r="C35">
        <v>5</v>
      </c>
      <c r="D35">
        <f t="shared" si="0"/>
        <v>42.5</v>
      </c>
      <c r="E35">
        <f t="shared" si="1"/>
        <v>28.5</v>
      </c>
      <c r="F35" s="39">
        <f t="shared" si="2"/>
        <v>-14</v>
      </c>
      <c r="G35">
        <f t="shared" si="3"/>
        <v>196</v>
      </c>
      <c r="J35" s="26">
        <v>386</v>
      </c>
      <c r="K35">
        <v>5</v>
      </c>
      <c r="L35">
        <v>5</v>
      </c>
      <c r="M35">
        <f t="shared" si="4"/>
        <v>24</v>
      </c>
      <c r="N35">
        <f t="shared" si="5"/>
        <v>29.5</v>
      </c>
      <c r="O35" s="39">
        <f t="shared" si="6"/>
        <v>-5.5</v>
      </c>
      <c r="P35">
        <f t="shared" si="7"/>
        <v>30.25</v>
      </c>
    </row>
    <row r="36" spans="1:16" ht="16">
      <c r="A36" s="26">
        <v>284</v>
      </c>
      <c r="B36" s="8">
        <v>4</v>
      </c>
      <c r="C36">
        <v>5</v>
      </c>
      <c r="D36">
        <f t="shared" si="0"/>
        <v>42.5</v>
      </c>
      <c r="E36">
        <f t="shared" si="1"/>
        <v>28.5</v>
      </c>
      <c r="F36" s="39">
        <f t="shared" si="2"/>
        <v>-14</v>
      </c>
      <c r="G36">
        <f t="shared" si="3"/>
        <v>196</v>
      </c>
      <c r="J36" s="26">
        <v>284</v>
      </c>
      <c r="K36">
        <v>5</v>
      </c>
      <c r="L36">
        <v>5</v>
      </c>
      <c r="M36">
        <f t="shared" si="4"/>
        <v>24</v>
      </c>
      <c r="N36">
        <f t="shared" si="5"/>
        <v>29.5</v>
      </c>
      <c r="O36" s="39">
        <f t="shared" si="6"/>
        <v>-5.5</v>
      </c>
      <c r="P36">
        <f t="shared" si="7"/>
        <v>30.25</v>
      </c>
    </row>
    <row r="37" spans="1:16" ht="16">
      <c r="A37" s="26">
        <v>190</v>
      </c>
      <c r="B37" s="8">
        <v>4</v>
      </c>
      <c r="C37">
        <v>4</v>
      </c>
      <c r="D37">
        <f t="shared" si="0"/>
        <v>42.5</v>
      </c>
      <c r="E37">
        <f t="shared" si="1"/>
        <v>65.5</v>
      </c>
      <c r="F37" s="39">
        <f t="shared" si="2"/>
        <v>23</v>
      </c>
      <c r="G37">
        <f t="shared" si="3"/>
        <v>529</v>
      </c>
      <c r="J37" s="26">
        <v>190</v>
      </c>
      <c r="K37">
        <v>5</v>
      </c>
      <c r="L37">
        <v>5</v>
      </c>
      <c r="M37">
        <f t="shared" si="4"/>
        <v>24</v>
      </c>
      <c r="N37">
        <f t="shared" si="5"/>
        <v>29.5</v>
      </c>
      <c r="O37" s="39">
        <f t="shared" si="6"/>
        <v>-5.5</v>
      </c>
      <c r="P37">
        <f t="shared" si="7"/>
        <v>30.25</v>
      </c>
    </row>
    <row r="38" spans="1:16" ht="16">
      <c r="A38" s="26">
        <v>462</v>
      </c>
      <c r="B38" s="8">
        <v>4</v>
      </c>
      <c r="C38">
        <v>4</v>
      </c>
      <c r="D38">
        <f t="shared" si="0"/>
        <v>42.5</v>
      </c>
      <c r="E38">
        <f t="shared" si="1"/>
        <v>65.5</v>
      </c>
      <c r="F38" s="39">
        <f t="shared" si="2"/>
        <v>23</v>
      </c>
      <c r="G38">
        <f t="shared" si="3"/>
        <v>529</v>
      </c>
      <c r="J38" s="26">
        <v>462</v>
      </c>
      <c r="K38">
        <v>5</v>
      </c>
      <c r="L38">
        <v>5</v>
      </c>
      <c r="M38">
        <f t="shared" si="4"/>
        <v>24</v>
      </c>
      <c r="N38">
        <f t="shared" si="5"/>
        <v>29.5</v>
      </c>
      <c r="O38" s="39">
        <f t="shared" si="6"/>
        <v>-5.5</v>
      </c>
      <c r="P38">
        <f t="shared" si="7"/>
        <v>30.25</v>
      </c>
    </row>
    <row r="39" spans="1:16" ht="16">
      <c r="A39" s="26">
        <v>655</v>
      </c>
      <c r="B39" s="8">
        <v>4</v>
      </c>
      <c r="C39">
        <v>5</v>
      </c>
      <c r="D39">
        <f t="shared" si="0"/>
        <v>42.5</v>
      </c>
      <c r="E39">
        <f t="shared" si="1"/>
        <v>28.5</v>
      </c>
      <c r="F39" s="39">
        <f t="shared" si="2"/>
        <v>-14</v>
      </c>
      <c r="G39">
        <f t="shared" si="3"/>
        <v>196</v>
      </c>
      <c r="J39" s="26">
        <v>655</v>
      </c>
      <c r="K39">
        <v>5</v>
      </c>
      <c r="L39">
        <v>4</v>
      </c>
      <c r="M39">
        <f t="shared" si="4"/>
        <v>24</v>
      </c>
      <c r="N39">
        <f t="shared" si="5"/>
        <v>60</v>
      </c>
      <c r="O39" s="39">
        <f t="shared" si="6"/>
        <v>-36</v>
      </c>
      <c r="P39">
        <f t="shared" si="7"/>
        <v>1296</v>
      </c>
    </row>
    <row r="40" spans="1:16" ht="16">
      <c r="A40" s="26">
        <v>408</v>
      </c>
      <c r="B40" s="8">
        <v>4</v>
      </c>
      <c r="C40">
        <v>5</v>
      </c>
      <c r="D40">
        <f t="shared" si="0"/>
        <v>42.5</v>
      </c>
      <c r="E40">
        <f t="shared" si="1"/>
        <v>28.5</v>
      </c>
      <c r="F40" s="39">
        <f t="shared" si="2"/>
        <v>-14</v>
      </c>
      <c r="G40">
        <f t="shared" si="3"/>
        <v>196</v>
      </c>
      <c r="J40" s="26">
        <v>408</v>
      </c>
      <c r="K40">
        <v>5</v>
      </c>
      <c r="L40">
        <v>4</v>
      </c>
      <c r="M40">
        <f t="shared" si="4"/>
        <v>24</v>
      </c>
      <c r="N40">
        <f t="shared" si="5"/>
        <v>60</v>
      </c>
      <c r="O40" s="39">
        <f t="shared" si="6"/>
        <v>-36</v>
      </c>
      <c r="P40">
        <f t="shared" si="7"/>
        <v>1296</v>
      </c>
    </row>
    <row r="41" spans="1:16" ht="16">
      <c r="A41" s="32">
        <v>3771</v>
      </c>
      <c r="B41" s="8">
        <v>4</v>
      </c>
      <c r="C41">
        <v>5</v>
      </c>
      <c r="D41">
        <f t="shared" si="0"/>
        <v>42.5</v>
      </c>
      <c r="E41">
        <f t="shared" si="1"/>
        <v>28.5</v>
      </c>
      <c r="F41" s="39">
        <f t="shared" si="2"/>
        <v>-14</v>
      </c>
      <c r="G41">
        <f t="shared" si="3"/>
        <v>196</v>
      </c>
      <c r="J41" s="32">
        <v>3771</v>
      </c>
      <c r="K41">
        <v>5</v>
      </c>
      <c r="L41">
        <v>5</v>
      </c>
      <c r="M41">
        <f t="shared" si="4"/>
        <v>24</v>
      </c>
      <c r="N41">
        <f t="shared" si="5"/>
        <v>29.5</v>
      </c>
      <c r="O41" s="39">
        <f t="shared" si="6"/>
        <v>-5.5</v>
      </c>
      <c r="P41">
        <f t="shared" si="7"/>
        <v>30.25</v>
      </c>
    </row>
    <row r="42" spans="1:16" ht="16">
      <c r="A42" s="26">
        <v>295</v>
      </c>
      <c r="B42" s="8">
        <v>3</v>
      </c>
      <c r="C42">
        <v>4</v>
      </c>
      <c r="D42">
        <f t="shared" si="0"/>
        <v>73</v>
      </c>
      <c r="E42">
        <f t="shared" si="1"/>
        <v>65.5</v>
      </c>
      <c r="F42" s="39">
        <f t="shared" si="2"/>
        <v>-7.5</v>
      </c>
      <c r="G42">
        <f t="shared" si="3"/>
        <v>56.25</v>
      </c>
      <c r="J42" s="26">
        <v>295</v>
      </c>
      <c r="K42">
        <v>3</v>
      </c>
      <c r="L42">
        <v>5</v>
      </c>
      <c r="M42">
        <f t="shared" si="4"/>
        <v>65.5</v>
      </c>
      <c r="N42">
        <f t="shared" si="5"/>
        <v>29.5</v>
      </c>
      <c r="O42" s="39">
        <f t="shared" si="6"/>
        <v>36</v>
      </c>
      <c r="P42">
        <f t="shared" si="7"/>
        <v>1296</v>
      </c>
    </row>
    <row r="43" spans="1:16" ht="16">
      <c r="A43" s="26">
        <v>450</v>
      </c>
      <c r="B43" s="8">
        <v>4</v>
      </c>
      <c r="C43">
        <v>4</v>
      </c>
      <c r="D43">
        <f t="shared" si="0"/>
        <v>42.5</v>
      </c>
      <c r="E43">
        <f t="shared" si="1"/>
        <v>65.5</v>
      </c>
      <c r="F43" s="39">
        <f t="shared" si="2"/>
        <v>23</v>
      </c>
      <c r="G43">
        <f t="shared" si="3"/>
        <v>529</v>
      </c>
      <c r="J43" s="26">
        <v>450</v>
      </c>
      <c r="K43">
        <v>2</v>
      </c>
      <c r="L43">
        <v>5</v>
      </c>
      <c r="M43">
        <f t="shared" si="4"/>
        <v>73.5</v>
      </c>
      <c r="N43">
        <f t="shared" si="5"/>
        <v>29.5</v>
      </c>
      <c r="O43" s="39">
        <f t="shared" si="6"/>
        <v>44</v>
      </c>
      <c r="P43">
        <f t="shared" si="7"/>
        <v>1936</v>
      </c>
    </row>
    <row r="44" spans="1:16" ht="16">
      <c r="A44" s="26">
        <v>621</v>
      </c>
      <c r="B44" s="8">
        <v>4</v>
      </c>
      <c r="C44">
        <v>4</v>
      </c>
      <c r="D44">
        <f t="shared" si="0"/>
        <v>42.5</v>
      </c>
      <c r="E44">
        <f t="shared" si="1"/>
        <v>65.5</v>
      </c>
      <c r="F44" s="39">
        <f t="shared" si="2"/>
        <v>23</v>
      </c>
      <c r="G44">
        <f t="shared" si="3"/>
        <v>529</v>
      </c>
      <c r="J44" s="26">
        <v>621</v>
      </c>
      <c r="K44">
        <v>2</v>
      </c>
      <c r="L44">
        <v>5</v>
      </c>
      <c r="M44">
        <f t="shared" si="4"/>
        <v>73.5</v>
      </c>
      <c r="N44">
        <f t="shared" si="5"/>
        <v>29.5</v>
      </c>
      <c r="O44" s="39">
        <f t="shared" si="6"/>
        <v>44</v>
      </c>
      <c r="P44">
        <f t="shared" si="7"/>
        <v>1936</v>
      </c>
    </row>
    <row r="45" spans="1:16" ht="16">
      <c r="A45" s="26">
        <v>366</v>
      </c>
      <c r="B45" s="8">
        <v>4</v>
      </c>
      <c r="C45">
        <v>5</v>
      </c>
      <c r="D45">
        <f t="shared" si="0"/>
        <v>42.5</v>
      </c>
      <c r="E45">
        <f t="shared" si="1"/>
        <v>28.5</v>
      </c>
      <c r="F45" s="39">
        <f t="shared" si="2"/>
        <v>-14</v>
      </c>
      <c r="G45">
        <f t="shared" si="3"/>
        <v>196</v>
      </c>
      <c r="J45" s="26">
        <v>366</v>
      </c>
      <c r="K45">
        <v>5</v>
      </c>
      <c r="L45">
        <v>5</v>
      </c>
      <c r="M45">
        <f t="shared" si="4"/>
        <v>24</v>
      </c>
      <c r="N45">
        <f t="shared" si="5"/>
        <v>29.5</v>
      </c>
      <c r="O45" s="39">
        <f t="shared" si="6"/>
        <v>-5.5</v>
      </c>
      <c r="P45">
        <f t="shared" si="7"/>
        <v>30.25</v>
      </c>
    </row>
    <row r="46" spans="1:16" ht="16">
      <c r="A46" s="26">
        <v>286</v>
      </c>
      <c r="B46" s="8">
        <v>3</v>
      </c>
      <c r="C46">
        <v>4</v>
      </c>
      <c r="D46">
        <f t="shared" si="0"/>
        <v>73</v>
      </c>
      <c r="E46">
        <f t="shared" si="1"/>
        <v>65.5</v>
      </c>
      <c r="F46" s="39">
        <f t="shared" si="2"/>
        <v>-7.5</v>
      </c>
      <c r="G46">
        <f t="shared" si="3"/>
        <v>56.25</v>
      </c>
      <c r="J46" s="26">
        <v>286</v>
      </c>
      <c r="K46">
        <v>4</v>
      </c>
      <c r="L46">
        <v>5</v>
      </c>
      <c r="M46">
        <f t="shared" si="4"/>
        <v>53.5</v>
      </c>
      <c r="N46">
        <f t="shared" si="5"/>
        <v>29.5</v>
      </c>
      <c r="O46" s="39">
        <f t="shared" si="6"/>
        <v>24</v>
      </c>
      <c r="P46">
        <f t="shared" si="7"/>
        <v>576</v>
      </c>
    </row>
    <row r="47" spans="1:16" ht="16">
      <c r="A47" s="26">
        <v>520</v>
      </c>
      <c r="B47" s="8">
        <v>4</v>
      </c>
      <c r="C47">
        <v>5</v>
      </c>
      <c r="D47">
        <f t="shared" si="0"/>
        <v>42.5</v>
      </c>
      <c r="E47">
        <f t="shared" si="1"/>
        <v>28.5</v>
      </c>
      <c r="F47" s="39">
        <f t="shared" si="2"/>
        <v>-14</v>
      </c>
      <c r="G47">
        <f t="shared" si="3"/>
        <v>196</v>
      </c>
      <c r="J47" s="26">
        <v>520</v>
      </c>
      <c r="K47">
        <v>5</v>
      </c>
      <c r="L47">
        <v>5</v>
      </c>
      <c r="M47">
        <f t="shared" si="4"/>
        <v>24</v>
      </c>
      <c r="N47">
        <f t="shared" si="5"/>
        <v>29.5</v>
      </c>
      <c r="O47" s="39">
        <f t="shared" si="6"/>
        <v>-5.5</v>
      </c>
      <c r="P47">
        <f t="shared" si="7"/>
        <v>30.25</v>
      </c>
    </row>
    <row r="48" spans="1:16" ht="16">
      <c r="A48" s="26">
        <v>906</v>
      </c>
      <c r="B48" s="8">
        <v>5</v>
      </c>
      <c r="C48">
        <v>5</v>
      </c>
      <c r="D48">
        <f t="shared" si="0"/>
        <v>7.5</v>
      </c>
      <c r="E48">
        <f t="shared" si="1"/>
        <v>28.5</v>
      </c>
      <c r="F48" s="39">
        <f t="shared" si="2"/>
        <v>21</v>
      </c>
      <c r="G48">
        <f t="shared" si="3"/>
        <v>441</v>
      </c>
      <c r="J48" s="26">
        <v>906</v>
      </c>
      <c r="K48">
        <v>3</v>
      </c>
      <c r="L48">
        <v>5</v>
      </c>
      <c r="M48">
        <f t="shared" si="4"/>
        <v>65.5</v>
      </c>
      <c r="N48">
        <f t="shared" si="5"/>
        <v>29.5</v>
      </c>
      <c r="O48" s="39">
        <f t="shared" si="6"/>
        <v>36</v>
      </c>
      <c r="P48">
        <f t="shared" si="7"/>
        <v>1296</v>
      </c>
    </row>
    <row r="49" spans="1:16" ht="16">
      <c r="A49" s="26">
        <v>396</v>
      </c>
      <c r="B49" s="8">
        <v>4</v>
      </c>
      <c r="C49">
        <v>4</v>
      </c>
      <c r="D49">
        <f t="shared" si="0"/>
        <v>42.5</v>
      </c>
      <c r="E49">
        <f t="shared" si="1"/>
        <v>65.5</v>
      </c>
      <c r="F49" s="39">
        <f t="shared" si="2"/>
        <v>23</v>
      </c>
      <c r="G49">
        <f t="shared" si="3"/>
        <v>529</v>
      </c>
      <c r="J49" s="26">
        <v>396</v>
      </c>
      <c r="K49">
        <v>5</v>
      </c>
      <c r="L49">
        <v>5</v>
      </c>
      <c r="M49">
        <f t="shared" si="4"/>
        <v>24</v>
      </c>
      <c r="N49">
        <f t="shared" si="5"/>
        <v>29.5</v>
      </c>
      <c r="O49" s="39">
        <f t="shared" si="6"/>
        <v>-5.5</v>
      </c>
      <c r="P49">
        <f t="shared" si="7"/>
        <v>30.25</v>
      </c>
    </row>
    <row r="50" spans="1:16" ht="16">
      <c r="A50" s="26">
        <v>560</v>
      </c>
      <c r="B50" s="8">
        <v>4</v>
      </c>
      <c r="C50">
        <v>5</v>
      </c>
      <c r="D50">
        <f t="shared" si="0"/>
        <v>42.5</v>
      </c>
      <c r="E50">
        <f t="shared" si="1"/>
        <v>28.5</v>
      </c>
      <c r="F50" s="39">
        <f t="shared" si="2"/>
        <v>-14</v>
      </c>
      <c r="G50">
        <f t="shared" si="3"/>
        <v>196</v>
      </c>
      <c r="J50" s="26">
        <v>560</v>
      </c>
      <c r="K50">
        <v>4</v>
      </c>
      <c r="L50">
        <v>5</v>
      </c>
      <c r="M50">
        <f t="shared" si="4"/>
        <v>53.5</v>
      </c>
      <c r="N50">
        <f t="shared" si="5"/>
        <v>29.5</v>
      </c>
      <c r="O50" s="39">
        <f t="shared" si="6"/>
        <v>24</v>
      </c>
      <c r="P50">
        <f t="shared" si="7"/>
        <v>576</v>
      </c>
    </row>
    <row r="51" spans="1:16" ht="16">
      <c r="A51" s="26">
        <v>571</v>
      </c>
      <c r="B51" s="8">
        <v>3</v>
      </c>
      <c r="C51">
        <v>4</v>
      </c>
      <c r="D51">
        <f t="shared" si="0"/>
        <v>73</v>
      </c>
      <c r="E51">
        <f t="shared" si="1"/>
        <v>65.5</v>
      </c>
      <c r="F51" s="39">
        <f t="shared" si="2"/>
        <v>-7.5</v>
      </c>
      <c r="G51">
        <f t="shared" si="3"/>
        <v>56.25</v>
      </c>
      <c r="J51" s="26">
        <v>571</v>
      </c>
      <c r="K51">
        <v>5</v>
      </c>
      <c r="L51">
        <v>5</v>
      </c>
      <c r="M51">
        <f t="shared" si="4"/>
        <v>24</v>
      </c>
      <c r="N51">
        <f t="shared" si="5"/>
        <v>29.5</v>
      </c>
      <c r="O51" s="39">
        <f t="shared" si="6"/>
        <v>-5.5</v>
      </c>
      <c r="P51">
        <f t="shared" si="7"/>
        <v>30.25</v>
      </c>
    </row>
    <row r="52" spans="1:16" ht="16">
      <c r="A52" s="26">
        <v>874</v>
      </c>
      <c r="B52" s="8">
        <v>4</v>
      </c>
      <c r="C52">
        <v>5</v>
      </c>
      <c r="D52">
        <f t="shared" si="0"/>
        <v>42.5</v>
      </c>
      <c r="E52">
        <f t="shared" si="1"/>
        <v>28.5</v>
      </c>
      <c r="F52" s="39">
        <f t="shared" si="2"/>
        <v>-14</v>
      </c>
      <c r="G52">
        <f t="shared" si="3"/>
        <v>196</v>
      </c>
      <c r="J52" s="26">
        <v>874</v>
      </c>
      <c r="K52">
        <v>4</v>
      </c>
      <c r="L52">
        <v>5</v>
      </c>
      <c r="M52">
        <f t="shared" si="4"/>
        <v>53.5</v>
      </c>
      <c r="N52">
        <f t="shared" si="5"/>
        <v>29.5</v>
      </c>
      <c r="O52" s="39">
        <f t="shared" si="6"/>
        <v>24</v>
      </c>
      <c r="P52">
        <f t="shared" si="7"/>
        <v>576</v>
      </c>
    </row>
    <row r="53" spans="1:16" ht="16">
      <c r="A53" s="26">
        <v>947</v>
      </c>
      <c r="B53" s="8">
        <v>4</v>
      </c>
      <c r="C53">
        <v>5</v>
      </c>
      <c r="D53">
        <f t="shared" si="0"/>
        <v>42.5</v>
      </c>
      <c r="E53">
        <f t="shared" si="1"/>
        <v>28.5</v>
      </c>
      <c r="F53" s="39">
        <f t="shared" si="2"/>
        <v>-14</v>
      </c>
      <c r="G53">
        <f t="shared" si="3"/>
        <v>196</v>
      </c>
      <c r="J53" s="26">
        <v>947</v>
      </c>
      <c r="K53">
        <v>3</v>
      </c>
      <c r="L53">
        <v>3</v>
      </c>
      <c r="M53">
        <f t="shared" si="4"/>
        <v>65.5</v>
      </c>
      <c r="N53">
        <f t="shared" si="5"/>
        <v>66</v>
      </c>
      <c r="O53" s="39">
        <f t="shared" si="6"/>
        <v>-0.5</v>
      </c>
      <c r="P53">
        <f t="shared" si="7"/>
        <v>0.25</v>
      </c>
    </row>
    <row r="54" spans="1:16" ht="16">
      <c r="A54" s="26">
        <v>907</v>
      </c>
      <c r="B54" s="8">
        <v>4</v>
      </c>
      <c r="C54">
        <v>5</v>
      </c>
      <c r="D54">
        <f t="shared" si="0"/>
        <v>42.5</v>
      </c>
      <c r="E54">
        <f t="shared" si="1"/>
        <v>28.5</v>
      </c>
      <c r="F54" s="39">
        <f t="shared" si="2"/>
        <v>-14</v>
      </c>
      <c r="G54">
        <f t="shared" si="3"/>
        <v>196</v>
      </c>
      <c r="J54" s="26">
        <v>907</v>
      </c>
      <c r="K54">
        <v>5</v>
      </c>
      <c r="L54">
        <v>3</v>
      </c>
      <c r="M54">
        <f t="shared" si="4"/>
        <v>24</v>
      </c>
      <c r="N54">
        <f t="shared" si="5"/>
        <v>66</v>
      </c>
      <c r="O54" s="39">
        <f t="shared" si="6"/>
        <v>-42</v>
      </c>
      <c r="P54">
        <f t="shared" si="7"/>
        <v>1764</v>
      </c>
    </row>
    <row r="55" spans="1:16" ht="16">
      <c r="A55" s="26">
        <v>895</v>
      </c>
      <c r="B55" s="8">
        <v>4</v>
      </c>
      <c r="C55">
        <v>5</v>
      </c>
      <c r="D55">
        <f t="shared" si="0"/>
        <v>42.5</v>
      </c>
      <c r="E55">
        <f t="shared" si="1"/>
        <v>28.5</v>
      </c>
      <c r="F55" s="39">
        <f t="shared" si="2"/>
        <v>-14</v>
      </c>
      <c r="G55">
        <f t="shared" si="3"/>
        <v>196</v>
      </c>
      <c r="J55" s="26">
        <v>895</v>
      </c>
      <c r="K55">
        <v>3</v>
      </c>
      <c r="L55">
        <v>5</v>
      </c>
      <c r="M55">
        <f t="shared" si="4"/>
        <v>65.5</v>
      </c>
      <c r="N55">
        <f t="shared" si="5"/>
        <v>29.5</v>
      </c>
      <c r="O55" s="39">
        <f t="shared" si="6"/>
        <v>36</v>
      </c>
      <c r="P55">
        <f t="shared" si="7"/>
        <v>1296</v>
      </c>
    </row>
    <row r="56" spans="1:16" ht="16">
      <c r="A56" s="26">
        <v>711</v>
      </c>
      <c r="B56" s="8">
        <v>3</v>
      </c>
      <c r="C56">
        <v>4</v>
      </c>
      <c r="D56">
        <f t="shared" si="0"/>
        <v>73</v>
      </c>
      <c r="E56">
        <f t="shared" si="1"/>
        <v>65.5</v>
      </c>
      <c r="F56" s="39">
        <f t="shared" si="2"/>
        <v>-7.5</v>
      </c>
      <c r="G56">
        <f t="shared" si="3"/>
        <v>56.25</v>
      </c>
      <c r="J56" s="26">
        <v>711</v>
      </c>
      <c r="K56">
        <v>2</v>
      </c>
      <c r="L56">
        <v>3</v>
      </c>
      <c r="M56">
        <f t="shared" si="4"/>
        <v>73.5</v>
      </c>
      <c r="N56">
        <f t="shared" si="5"/>
        <v>66</v>
      </c>
      <c r="O56" s="39">
        <f t="shared" si="6"/>
        <v>7.5</v>
      </c>
      <c r="P56">
        <f t="shared" si="7"/>
        <v>56.25</v>
      </c>
    </row>
    <row r="57" spans="1:16" ht="16">
      <c r="A57" s="26">
        <v>983</v>
      </c>
      <c r="B57" s="8">
        <v>4</v>
      </c>
      <c r="C57">
        <v>5</v>
      </c>
      <c r="D57">
        <f t="shared" si="0"/>
        <v>42.5</v>
      </c>
      <c r="E57">
        <f t="shared" si="1"/>
        <v>28.5</v>
      </c>
      <c r="F57" s="39">
        <f t="shared" si="2"/>
        <v>-14</v>
      </c>
      <c r="G57">
        <f t="shared" si="3"/>
        <v>196</v>
      </c>
      <c r="J57" s="26">
        <v>983</v>
      </c>
      <c r="K57">
        <v>3</v>
      </c>
      <c r="L57">
        <v>5</v>
      </c>
      <c r="M57">
        <f t="shared" si="4"/>
        <v>65.5</v>
      </c>
      <c r="N57">
        <f t="shared" si="5"/>
        <v>29.5</v>
      </c>
      <c r="O57" s="39">
        <f t="shared" si="6"/>
        <v>36</v>
      </c>
      <c r="P57">
        <f t="shared" si="7"/>
        <v>1296</v>
      </c>
    </row>
    <row r="58" spans="1:16" ht="16">
      <c r="A58" s="26">
        <v>23</v>
      </c>
      <c r="B58" s="8">
        <v>4</v>
      </c>
      <c r="C58">
        <v>4</v>
      </c>
      <c r="D58">
        <f t="shared" si="0"/>
        <v>42.5</v>
      </c>
      <c r="E58">
        <f t="shared" si="1"/>
        <v>65.5</v>
      </c>
      <c r="F58" s="39">
        <f t="shared" si="2"/>
        <v>23</v>
      </c>
      <c r="G58">
        <f t="shared" si="3"/>
        <v>529</v>
      </c>
      <c r="J58" s="26">
        <v>23</v>
      </c>
      <c r="K58">
        <v>1</v>
      </c>
      <c r="L58">
        <v>2</v>
      </c>
      <c r="M58">
        <f t="shared" si="4"/>
        <v>78</v>
      </c>
      <c r="N58">
        <f t="shared" si="5"/>
        <v>74</v>
      </c>
      <c r="O58" s="39">
        <f t="shared" si="6"/>
        <v>4</v>
      </c>
      <c r="P58">
        <f t="shared" si="7"/>
        <v>16</v>
      </c>
    </row>
    <row r="59" spans="1:16" ht="16">
      <c r="A59" s="26">
        <v>81</v>
      </c>
      <c r="B59" s="8">
        <v>4</v>
      </c>
      <c r="C59">
        <v>5</v>
      </c>
      <c r="D59">
        <f t="shared" si="0"/>
        <v>42.5</v>
      </c>
      <c r="E59">
        <f t="shared" si="1"/>
        <v>28.5</v>
      </c>
      <c r="F59" s="39">
        <f t="shared" si="2"/>
        <v>-14</v>
      </c>
      <c r="G59">
        <f t="shared" si="3"/>
        <v>196</v>
      </c>
      <c r="J59" s="26">
        <v>81</v>
      </c>
      <c r="K59">
        <v>3</v>
      </c>
      <c r="L59">
        <v>3</v>
      </c>
      <c r="M59">
        <f t="shared" si="4"/>
        <v>65.5</v>
      </c>
      <c r="N59">
        <f t="shared" si="5"/>
        <v>66</v>
      </c>
      <c r="O59" s="39">
        <f t="shared" si="6"/>
        <v>-0.5</v>
      </c>
      <c r="P59">
        <f t="shared" si="7"/>
        <v>0.25</v>
      </c>
    </row>
    <row r="60" spans="1:16" ht="16">
      <c r="A60" s="26">
        <v>177</v>
      </c>
      <c r="B60" s="8">
        <v>4</v>
      </c>
      <c r="C60">
        <v>5</v>
      </c>
      <c r="D60">
        <f t="shared" si="0"/>
        <v>42.5</v>
      </c>
      <c r="E60">
        <f t="shared" si="1"/>
        <v>28.5</v>
      </c>
      <c r="F60" s="39">
        <f t="shared" si="2"/>
        <v>-14</v>
      </c>
      <c r="G60">
        <f t="shared" si="3"/>
        <v>196</v>
      </c>
      <c r="J60" s="26">
        <v>177</v>
      </c>
      <c r="K60">
        <v>3</v>
      </c>
      <c r="L60">
        <v>5</v>
      </c>
      <c r="M60">
        <f t="shared" si="4"/>
        <v>65.5</v>
      </c>
      <c r="N60">
        <f t="shared" si="5"/>
        <v>29.5</v>
      </c>
      <c r="O60" s="39">
        <f t="shared" si="6"/>
        <v>36</v>
      </c>
      <c r="P60">
        <f t="shared" si="7"/>
        <v>1296</v>
      </c>
    </row>
    <row r="61" spans="1:16" ht="16">
      <c r="A61" s="26">
        <v>815</v>
      </c>
      <c r="B61" s="8">
        <v>4</v>
      </c>
      <c r="C61">
        <v>5</v>
      </c>
      <c r="D61">
        <f t="shared" si="0"/>
        <v>42.5</v>
      </c>
      <c r="E61">
        <f t="shared" si="1"/>
        <v>28.5</v>
      </c>
      <c r="F61" s="39">
        <f t="shared" si="2"/>
        <v>-14</v>
      </c>
      <c r="G61">
        <f t="shared" si="3"/>
        <v>196</v>
      </c>
      <c r="J61" s="26">
        <v>815</v>
      </c>
      <c r="K61">
        <v>4</v>
      </c>
      <c r="L61">
        <v>5</v>
      </c>
      <c r="M61">
        <f t="shared" si="4"/>
        <v>53.5</v>
      </c>
      <c r="N61">
        <f t="shared" si="5"/>
        <v>29.5</v>
      </c>
      <c r="O61" s="39">
        <f t="shared" si="6"/>
        <v>24</v>
      </c>
      <c r="P61">
        <f t="shared" si="7"/>
        <v>576</v>
      </c>
    </row>
    <row r="62" spans="1:16" ht="16">
      <c r="A62" s="26">
        <v>791</v>
      </c>
      <c r="B62" s="8">
        <v>4</v>
      </c>
      <c r="C62">
        <v>5</v>
      </c>
      <c r="D62">
        <f t="shared" si="0"/>
        <v>42.5</v>
      </c>
      <c r="E62">
        <f t="shared" si="1"/>
        <v>28.5</v>
      </c>
      <c r="F62" s="39">
        <f t="shared" si="2"/>
        <v>-14</v>
      </c>
      <c r="G62">
        <f t="shared" si="3"/>
        <v>196</v>
      </c>
      <c r="J62" s="26">
        <v>791</v>
      </c>
      <c r="K62">
        <v>4</v>
      </c>
      <c r="L62">
        <v>2</v>
      </c>
      <c r="M62">
        <f t="shared" si="4"/>
        <v>53.5</v>
      </c>
      <c r="N62">
        <f t="shared" si="5"/>
        <v>74</v>
      </c>
      <c r="O62" s="39">
        <f t="shared" si="6"/>
        <v>-20.5</v>
      </c>
      <c r="P62">
        <f t="shared" si="7"/>
        <v>420.25</v>
      </c>
    </row>
    <row r="63" spans="1:16" ht="16">
      <c r="A63" s="26">
        <v>20</v>
      </c>
      <c r="B63" s="8">
        <v>4</v>
      </c>
      <c r="C63">
        <v>4</v>
      </c>
      <c r="D63">
        <f t="shared" si="0"/>
        <v>42.5</v>
      </c>
      <c r="E63">
        <f t="shared" si="1"/>
        <v>65.5</v>
      </c>
      <c r="F63" s="39">
        <f t="shared" si="2"/>
        <v>23</v>
      </c>
      <c r="G63">
        <f t="shared" si="3"/>
        <v>529</v>
      </c>
      <c r="J63" s="26">
        <v>20</v>
      </c>
      <c r="K63">
        <v>5</v>
      </c>
      <c r="L63">
        <v>2</v>
      </c>
      <c r="M63">
        <f t="shared" si="4"/>
        <v>24</v>
      </c>
      <c r="N63">
        <f t="shared" si="5"/>
        <v>74</v>
      </c>
      <c r="O63" s="39">
        <f t="shared" si="6"/>
        <v>-50</v>
      </c>
      <c r="P63">
        <f t="shared" si="7"/>
        <v>2500</v>
      </c>
    </row>
    <row r="64" spans="1:16" ht="16">
      <c r="A64" s="26">
        <v>676</v>
      </c>
      <c r="B64" s="8">
        <v>2</v>
      </c>
      <c r="C64">
        <v>3</v>
      </c>
      <c r="D64">
        <f t="shared" si="0"/>
        <v>76.5</v>
      </c>
      <c r="E64">
        <f t="shared" si="1"/>
        <v>75.5</v>
      </c>
      <c r="F64" s="39">
        <f t="shared" si="2"/>
        <v>-1</v>
      </c>
      <c r="G64">
        <f t="shared" si="3"/>
        <v>1</v>
      </c>
      <c r="J64" s="26">
        <v>676</v>
      </c>
      <c r="K64">
        <v>5</v>
      </c>
      <c r="L64">
        <v>2</v>
      </c>
      <c r="M64">
        <f t="shared" si="4"/>
        <v>24</v>
      </c>
      <c r="N64">
        <f t="shared" si="5"/>
        <v>74</v>
      </c>
      <c r="O64" s="39">
        <f t="shared" si="6"/>
        <v>-50</v>
      </c>
      <c r="P64">
        <f t="shared" si="7"/>
        <v>2500</v>
      </c>
    </row>
    <row r="65" spans="1:16" ht="16">
      <c r="A65" s="26">
        <v>938</v>
      </c>
      <c r="B65" s="8">
        <v>5</v>
      </c>
      <c r="C65">
        <v>5</v>
      </c>
      <c r="D65">
        <f t="shared" si="0"/>
        <v>7.5</v>
      </c>
      <c r="E65">
        <f t="shared" si="1"/>
        <v>28.5</v>
      </c>
      <c r="F65" s="39">
        <f t="shared" si="2"/>
        <v>21</v>
      </c>
      <c r="G65">
        <f t="shared" si="3"/>
        <v>441</v>
      </c>
      <c r="J65" s="26">
        <v>938</v>
      </c>
      <c r="K65">
        <v>5</v>
      </c>
      <c r="L65">
        <v>2</v>
      </c>
      <c r="M65">
        <f t="shared" si="4"/>
        <v>24</v>
      </c>
      <c r="N65">
        <f t="shared" si="5"/>
        <v>74</v>
      </c>
      <c r="O65" s="39">
        <f t="shared" si="6"/>
        <v>-50</v>
      </c>
      <c r="P65">
        <f t="shared" si="7"/>
        <v>2500</v>
      </c>
    </row>
    <row r="66" spans="1:16" ht="16">
      <c r="A66" s="26">
        <v>855</v>
      </c>
      <c r="B66" s="8">
        <v>5</v>
      </c>
      <c r="C66">
        <v>5</v>
      </c>
      <c r="D66">
        <f t="shared" si="0"/>
        <v>7.5</v>
      </c>
      <c r="E66">
        <f t="shared" si="1"/>
        <v>28.5</v>
      </c>
      <c r="F66" s="39">
        <f t="shared" si="2"/>
        <v>21</v>
      </c>
      <c r="G66">
        <f t="shared" si="3"/>
        <v>441</v>
      </c>
      <c r="J66" s="26">
        <v>855</v>
      </c>
      <c r="K66">
        <v>5</v>
      </c>
      <c r="L66">
        <v>5</v>
      </c>
      <c r="M66">
        <f t="shared" si="4"/>
        <v>24</v>
      </c>
      <c r="N66">
        <f t="shared" si="5"/>
        <v>29.5</v>
      </c>
      <c r="O66" s="39">
        <f t="shared" si="6"/>
        <v>-5.5</v>
      </c>
      <c r="P66">
        <f t="shared" si="7"/>
        <v>30.25</v>
      </c>
    </row>
    <row r="67" spans="1:16" ht="16">
      <c r="A67" s="26">
        <v>899</v>
      </c>
      <c r="B67" s="8">
        <v>5</v>
      </c>
      <c r="C67">
        <v>5</v>
      </c>
      <c r="D67">
        <f t="shared" ref="D67:D81" si="8">_xlfn.RANK.AVG(B67,$B$2:$B$81,0)</f>
        <v>7.5</v>
      </c>
      <c r="E67">
        <f t="shared" ref="E67:E81" si="9">_xlfn.RANK.AVG(C67,$C$2:$C$81,0)</f>
        <v>28.5</v>
      </c>
      <c r="F67" s="39">
        <f t="shared" ref="F67:F81" si="10">E67-D67</f>
        <v>21</v>
      </c>
      <c r="G67">
        <f t="shared" ref="G67:G81" si="11">F67*F67</f>
        <v>441</v>
      </c>
      <c r="J67" s="26">
        <v>899</v>
      </c>
      <c r="K67">
        <v>5</v>
      </c>
      <c r="L67">
        <v>2</v>
      </c>
      <c r="M67">
        <f t="shared" ref="M67:M81" si="12">_xlfn.RANK.AVG(K67,$K$2:$K$81,0)</f>
        <v>24</v>
      </c>
      <c r="N67">
        <f t="shared" ref="N67:N81" si="13">_xlfn.RANK.AVG(L67,$L$2:$L$81,0)</f>
        <v>74</v>
      </c>
      <c r="O67" s="39">
        <f t="shared" ref="O67:O81" si="14">M67-N67</f>
        <v>-50</v>
      </c>
      <c r="P67">
        <f t="shared" ref="P67:P81" si="15">O67*O67</f>
        <v>2500</v>
      </c>
    </row>
    <row r="68" spans="1:16" ht="16">
      <c r="A68" s="26">
        <v>157</v>
      </c>
      <c r="B68" s="8">
        <v>4</v>
      </c>
      <c r="C68">
        <v>5</v>
      </c>
      <c r="D68">
        <f t="shared" si="8"/>
        <v>42.5</v>
      </c>
      <c r="E68">
        <f t="shared" si="9"/>
        <v>28.5</v>
      </c>
      <c r="F68" s="39">
        <f t="shared" si="10"/>
        <v>-14</v>
      </c>
      <c r="G68">
        <f t="shared" si="11"/>
        <v>196</v>
      </c>
      <c r="J68" s="26">
        <v>157</v>
      </c>
      <c r="K68">
        <v>5</v>
      </c>
      <c r="L68">
        <v>3</v>
      </c>
      <c r="M68">
        <f t="shared" si="12"/>
        <v>24</v>
      </c>
      <c r="N68">
        <f t="shared" si="13"/>
        <v>66</v>
      </c>
      <c r="O68" s="39">
        <f t="shared" si="14"/>
        <v>-42</v>
      </c>
      <c r="P68">
        <f t="shared" si="15"/>
        <v>1764</v>
      </c>
    </row>
    <row r="69" spans="1:16" ht="16">
      <c r="A69" s="26">
        <v>805</v>
      </c>
      <c r="B69" s="8">
        <v>4</v>
      </c>
      <c r="C69">
        <v>5</v>
      </c>
      <c r="D69">
        <f t="shared" si="8"/>
        <v>42.5</v>
      </c>
      <c r="E69">
        <f t="shared" si="9"/>
        <v>28.5</v>
      </c>
      <c r="F69" s="39">
        <f t="shared" si="10"/>
        <v>-14</v>
      </c>
      <c r="G69">
        <f t="shared" si="11"/>
        <v>196</v>
      </c>
      <c r="J69" s="26">
        <v>805</v>
      </c>
      <c r="K69">
        <v>5</v>
      </c>
      <c r="L69">
        <v>3</v>
      </c>
      <c r="M69">
        <f t="shared" si="12"/>
        <v>24</v>
      </c>
      <c r="N69">
        <f t="shared" si="13"/>
        <v>66</v>
      </c>
      <c r="O69" s="39">
        <f t="shared" si="14"/>
        <v>-42</v>
      </c>
      <c r="P69">
        <f t="shared" si="15"/>
        <v>1764</v>
      </c>
    </row>
    <row r="70" spans="1:16" ht="16">
      <c r="A70" s="26">
        <v>503</v>
      </c>
      <c r="B70" s="8">
        <v>4</v>
      </c>
      <c r="C70">
        <v>5</v>
      </c>
      <c r="D70">
        <f t="shared" si="8"/>
        <v>42.5</v>
      </c>
      <c r="E70">
        <f t="shared" si="9"/>
        <v>28.5</v>
      </c>
      <c r="F70" s="39">
        <f t="shared" si="10"/>
        <v>-14</v>
      </c>
      <c r="G70">
        <f t="shared" si="11"/>
        <v>196</v>
      </c>
      <c r="J70" s="26">
        <v>503</v>
      </c>
      <c r="K70">
        <v>5</v>
      </c>
      <c r="L70">
        <v>5</v>
      </c>
      <c r="M70">
        <f t="shared" si="12"/>
        <v>24</v>
      </c>
      <c r="N70">
        <f t="shared" si="13"/>
        <v>29.5</v>
      </c>
      <c r="O70" s="39">
        <f t="shared" si="14"/>
        <v>-5.5</v>
      </c>
      <c r="P70">
        <f t="shared" si="15"/>
        <v>30.25</v>
      </c>
    </row>
    <row r="71" spans="1:16" ht="16">
      <c r="A71" s="26">
        <v>646</v>
      </c>
      <c r="B71" s="8">
        <v>2</v>
      </c>
      <c r="C71">
        <v>3</v>
      </c>
      <c r="D71">
        <f t="shared" si="8"/>
        <v>76.5</v>
      </c>
      <c r="E71">
        <f t="shared" si="9"/>
        <v>75.5</v>
      </c>
      <c r="F71" s="39">
        <f t="shared" si="10"/>
        <v>-1</v>
      </c>
      <c r="G71">
        <f t="shared" si="11"/>
        <v>1</v>
      </c>
      <c r="J71" s="26">
        <v>646</v>
      </c>
      <c r="K71">
        <v>5</v>
      </c>
      <c r="L71">
        <v>2</v>
      </c>
      <c r="M71">
        <f t="shared" si="12"/>
        <v>24</v>
      </c>
      <c r="N71">
        <f t="shared" si="13"/>
        <v>74</v>
      </c>
      <c r="O71" s="39">
        <f t="shared" si="14"/>
        <v>-50</v>
      </c>
      <c r="P71">
        <f t="shared" si="15"/>
        <v>2500</v>
      </c>
    </row>
    <row r="72" spans="1:16" ht="16">
      <c r="A72" s="26">
        <v>883</v>
      </c>
      <c r="B72" s="8">
        <v>4</v>
      </c>
      <c r="C72">
        <v>5</v>
      </c>
      <c r="D72">
        <f t="shared" si="8"/>
        <v>42.5</v>
      </c>
      <c r="E72">
        <f t="shared" si="9"/>
        <v>28.5</v>
      </c>
      <c r="F72" s="39">
        <f t="shared" si="10"/>
        <v>-14</v>
      </c>
      <c r="G72">
        <f t="shared" si="11"/>
        <v>196</v>
      </c>
      <c r="J72" s="26">
        <v>883</v>
      </c>
      <c r="K72">
        <v>5</v>
      </c>
      <c r="L72">
        <v>5</v>
      </c>
      <c r="M72">
        <f t="shared" si="12"/>
        <v>24</v>
      </c>
      <c r="N72">
        <f t="shared" si="13"/>
        <v>29.5</v>
      </c>
      <c r="O72" s="39">
        <f t="shared" si="14"/>
        <v>-5.5</v>
      </c>
      <c r="P72">
        <f t="shared" si="15"/>
        <v>30.25</v>
      </c>
    </row>
    <row r="73" spans="1:16" ht="16">
      <c r="A73" s="26">
        <v>79</v>
      </c>
      <c r="B73" s="8">
        <v>4</v>
      </c>
      <c r="C73">
        <v>5</v>
      </c>
      <c r="D73">
        <f t="shared" si="8"/>
        <v>42.5</v>
      </c>
      <c r="E73">
        <f t="shared" si="9"/>
        <v>28.5</v>
      </c>
      <c r="F73" s="39">
        <f t="shared" si="10"/>
        <v>-14</v>
      </c>
      <c r="G73">
        <f t="shared" si="11"/>
        <v>196</v>
      </c>
      <c r="J73" s="26">
        <v>79</v>
      </c>
      <c r="K73">
        <v>5</v>
      </c>
      <c r="L73">
        <v>5</v>
      </c>
      <c r="M73">
        <f t="shared" si="12"/>
        <v>24</v>
      </c>
      <c r="N73">
        <f t="shared" si="13"/>
        <v>29.5</v>
      </c>
      <c r="O73" s="39">
        <f t="shared" si="14"/>
        <v>-5.5</v>
      </c>
      <c r="P73">
        <f t="shared" si="15"/>
        <v>30.25</v>
      </c>
    </row>
    <row r="74" spans="1:16" ht="16">
      <c r="A74" s="26">
        <v>508</v>
      </c>
      <c r="B74" s="8">
        <v>4</v>
      </c>
      <c r="C74">
        <v>5</v>
      </c>
      <c r="D74">
        <f t="shared" si="8"/>
        <v>42.5</v>
      </c>
      <c r="E74">
        <f t="shared" si="9"/>
        <v>28.5</v>
      </c>
      <c r="F74" s="39">
        <f t="shared" si="10"/>
        <v>-14</v>
      </c>
      <c r="G74">
        <f t="shared" si="11"/>
        <v>196</v>
      </c>
      <c r="J74" s="26">
        <v>508</v>
      </c>
      <c r="K74">
        <v>4</v>
      </c>
      <c r="L74">
        <v>5</v>
      </c>
      <c r="M74">
        <f t="shared" si="12"/>
        <v>53.5</v>
      </c>
      <c r="N74">
        <f t="shared" si="13"/>
        <v>29.5</v>
      </c>
      <c r="O74" s="39">
        <f t="shared" si="14"/>
        <v>24</v>
      </c>
      <c r="P74">
        <f t="shared" si="15"/>
        <v>576</v>
      </c>
    </row>
    <row r="75" spans="1:16" ht="16">
      <c r="A75" s="26">
        <v>4</v>
      </c>
      <c r="B75" s="8">
        <v>4</v>
      </c>
      <c r="C75">
        <v>5</v>
      </c>
      <c r="D75">
        <f t="shared" si="8"/>
        <v>42.5</v>
      </c>
      <c r="E75">
        <f t="shared" si="9"/>
        <v>28.5</v>
      </c>
      <c r="F75" s="39">
        <f t="shared" si="10"/>
        <v>-14</v>
      </c>
      <c r="G75">
        <f t="shared" si="11"/>
        <v>196</v>
      </c>
      <c r="J75" s="26">
        <v>4</v>
      </c>
      <c r="K75">
        <v>5</v>
      </c>
      <c r="L75">
        <v>5</v>
      </c>
      <c r="M75">
        <f t="shared" si="12"/>
        <v>24</v>
      </c>
      <c r="N75">
        <f t="shared" si="13"/>
        <v>29.5</v>
      </c>
      <c r="O75" s="39">
        <f t="shared" si="14"/>
        <v>-5.5</v>
      </c>
      <c r="P75">
        <f t="shared" si="15"/>
        <v>30.25</v>
      </c>
    </row>
    <row r="76" spans="1:16" ht="16">
      <c r="A76" s="26">
        <v>982</v>
      </c>
      <c r="B76" s="8">
        <v>4</v>
      </c>
      <c r="C76">
        <v>5</v>
      </c>
      <c r="D76">
        <f t="shared" si="8"/>
        <v>42.5</v>
      </c>
      <c r="E76">
        <f t="shared" si="9"/>
        <v>28.5</v>
      </c>
      <c r="F76" s="39">
        <f t="shared" si="10"/>
        <v>-14</v>
      </c>
      <c r="G76">
        <f t="shared" si="11"/>
        <v>196</v>
      </c>
      <c r="J76" s="26">
        <v>982</v>
      </c>
      <c r="K76">
        <v>3</v>
      </c>
      <c r="L76">
        <v>4</v>
      </c>
      <c r="M76">
        <f t="shared" si="12"/>
        <v>65.5</v>
      </c>
      <c r="N76">
        <f t="shared" si="13"/>
        <v>60</v>
      </c>
      <c r="O76" s="39">
        <f t="shared" si="14"/>
        <v>5.5</v>
      </c>
      <c r="P76">
        <f t="shared" si="15"/>
        <v>30.25</v>
      </c>
    </row>
    <row r="77" spans="1:16" ht="16">
      <c r="A77" s="26">
        <v>788</v>
      </c>
      <c r="B77" s="8">
        <v>4</v>
      </c>
      <c r="C77">
        <v>5</v>
      </c>
      <c r="D77">
        <f t="shared" si="8"/>
        <v>42.5</v>
      </c>
      <c r="E77">
        <f t="shared" si="9"/>
        <v>28.5</v>
      </c>
      <c r="F77" s="39">
        <f t="shared" si="10"/>
        <v>-14</v>
      </c>
      <c r="G77">
        <f t="shared" si="11"/>
        <v>196</v>
      </c>
      <c r="J77" s="26">
        <v>788</v>
      </c>
      <c r="K77">
        <v>5</v>
      </c>
      <c r="L77">
        <v>5</v>
      </c>
      <c r="M77">
        <f t="shared" si="12"/>
        <v>24</v>
      </c>
      <c r="N77">
        <f t="shared" si="13"/>
        <v>29.5</v>
      </c>
      <c r="O77" s="39">
        <f t="shared" si="14"/>
        <v>-5.5</v>
      </c>
      <c r="P77">
        <f t="shared" si="15"/>
        <v>30.25</v>
      </c>
    </row>
    <row r="78" spans="1:16" ht="16">
      <c r="A78" s="26">
        <v>146</v>
      </c>
      <c r="B78" s="26">
        <v>1</v>
      </c>
      <c r="C78">
        <v>1</v>
      </c>
      <c r="D78">
        <f t="shared" si="8"/>
        <v>79</v>
      </c>
      <c r="E78">
        <f t="shared" si="9"/>
        <v>79</v>
      </c>
      <c r="F78" s="39">
        <f t="shared" si="10"/>
        <v>0</v>
      </c>
      <c r="G78">
        <f t="shared" si="11"/>
        <v>0</v>
      </c>
      <c r="J78" s="26">
        <v>146</v>
      </c>
      <c r="K78">
        <v>1</v>
      </c>
      <c r="L78">
        <v>1</v>
      </c>
      <c r="M78">
        <f t="shared" si="12"/>
        <v>78</v>
      </c>
      <c r="N78">
        <f t="shared" si="13"/>
        <v>79</v>
      </c>
      <c r="O78" s="39">
        <f t="shared" si="14"/>
        <v>-1</v>
      </c>
      <c r="P78">
        <f t="shared" si="15"/>
        <v>1</v>
      </c>
    </row>
    <row r="79" spans="1:16" ht="16">
      <c r="A79" s="26">
        <v>104</v>
      </c>
      <c r="B79" s="26">
        <v>1</v>
      </c>
      <c r="C79">
        <v>1</v>
      </c>
      <c r="D79">
        <f t="shared" si="8"/>
        <v>79</v>
      </c>
      <c r="E79">
        <f t="shared" si="9"/>
        <v>79</v>
      </c>
      <c r="F79" s="39">
        <f t="shared" si="10"/>
        <v>0</v>
      </c>
      <c r="G79">
        <f t="shared" si="11"/>
        <v>0</v>
      </c>
      <c r="J79" s="26">
        <v>104</v>
      </c>
      <c r="K79">
        <v>1</v>
      </c>
      <c r="L79">
        <v>1</v>
      </c>
      <c r="M79">
        <f t="shared" si="12"/>
        <v>78</v>
      </c>
      <c r="N79">
        <f t="shared" si="13"/>
        <v>79</v>
      </c>
      <c r="O79" s="39">
        <f t="shared" si="14"/>
        <v>-1</v>
      </c>
      <c r="P79">
        <f t="shared" si="15"/>
        <v>1</v>
      </c>
    </row>
    <row r="80" spans="1:16" ht="16">
      <c r="A80" s="26">
        <v>495</v>
      </c>
      <c r="B80" s="8">
        <v>4</v>
      </c>
      <c r="C80">
        <v>4</v>
      </c>
      <c r="D80">
        <f t="shared" si="8"/>
        <v>42.5</v>
      </c>
      <c r="E80">
        <f t="shared" si="9"/>
        <v>65.5</v>
      </c>
      <c r="F80" s="39">
        <f t="shared" si="10"/>
        <v>23</v>
      </c>
      <c r="G80">
        <f t="shared" si="11"/>
        <v>529</v>
      </c>
      <c r="J80" s="26">
        <v>495</v>
      </c>
      <c r="K80">
        <v>5</v>
      </c>
      <c r="L80">
        <v>3</v>
      </c>
      <c r="M80">
        <f t="shared" si="12"/>
        <v>24</v>
      </c>
      <c r="N80">
        <f t="shared" si="13"/>
        <v>66</v>
      </c>
      <c r="O80" s="39">
        <f t="shared" si="14"/>
        <v>-42</v>
      </c>
      <c r="P80">
        <f t="shared" si="15"/>
        <v>1764</v>
      </c>
    </row>
    <row r="81" spans="1:16" ht="16">
      <c r="A81" s="26">
        <v>308</v>
      </c>
      <c r="B81" s="8">
        <v>4</v>
      </c>
      <c r="C81">
        <v>4</v>
      </c>
      <c r="D81">
        <f t="shared" si="8"/>
        <v>42.5</v>
      </c>
      <c r="E81">
        <f t="shared" si="9"/>
        <v>65.5</v>
      </c>
      <c r="F81" s="39">
        <f t="shared" si="10"/>
        <v>23</v>
      </c>
      <c r="G81">
        <f t="shared" si="11"/>
        <v>529</v>
      </c>
      <c r="J81" s="26">
        <v>308</v>
      </c>
      <c r="K81">
        <v>5</v>
      </c>
      <c r="L81">
        <v>3</v>
      </c>
      <c r="M81">
        <f t="shared" si="12"/>
        <v>24</v>
      </c>
      <c r="N81">
        <f t="shared" si="13"/>
        <v>66</v>
      </c>
      <c r="O81" s="39">
        <f t="shared" si="14"/>
        <v>-42</v>
      </c>
      <c r="P81">
        <f t="shared" si="15"/>
        <v>1764</v>
      </c>
    </row>
    <row r="82" spans="1:16">
      <c r="G82">
        <f>SUM(G2:G81)</f>
        <v>24645</v>
      </c>
      <c r="P82">
        <f>SUM(P2:P81)</f>
        <v>49449</v>
      </c>
    </row>
    <row r="83" spans="1:16">
      <c r="E83">
        <v>80</v>
      </c>
      <c r="G83" s="40">
        <f>1-(6*G82)/(E83^3-E83)</f>
        <v>0.71114627285513365</v>
      </c>
      <c r="N83">
        <v>80</v>
      </c>
      <c r="P83" s="40">
        <f>1-(6*P82)/(N83^3-N83)</f>
        <v>0.42042897327707451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Notes</vt:lpstr>
      <vt:lpstr>Raw Data</vt:lpstr>
      <vt:lpstr>Judge Input</vt:lpstr>
      <vt:lpstr>ChatGPT Response</vt:lpstr>
      <vt:lpstr>All Metrics</vt:lpstr>
      <vt:lpstr>PT for Chi</vt:lpstr>
      <vt:lpstr>Chi Squared</vt:lpstr>
      <vt:lpstr>Welchs T Test</vt:lpstr>
      <vt:lpstr>Paired T test</vt:lpstr>
      <vt:lpstr>Spearman Corr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 Sabrina (swoo@uidaho.edu)</dc:creator>
  <cp:lastModifiedBy>Woo, Sabrina (swoo@uidaho.edu)</cp:lastModifiedBy>
  <dcterms:created xsi:type="dcterms:W3CDTF">2026-02-26T23:06:18Z</dcterms:created>
  <dcterms:modified xsi:type="dcterms:W3CDTF">2026-05-12T03:54:22Z</dcterms:modified>
</cp:coreProperties>
</file>